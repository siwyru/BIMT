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3.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C:\Users\siwyr\LIKO-S, a.s\550 R&amp;D - Documents\SMART i WALL\Dokumenty\"/>
    </mc:Choice>
  </mc:AlternateContent>
  <xr:revisionPtr revIDLastSave="790" documentId="8_{7A5FA526-C65F-4DEF-9A18-2A676224D956}" xr6:coauthVersionLast="45" xr6:coauthVersionMax="45" xr10:uidLastSave="{FA18B726-4D0E-4AFC-9624-DB4E00BDBFCD}"/>
  <bookViews>
    <workbookView xWindow="-108" yWindow="-108" windowWidth="21924" windowHeight="13176" xr2:uid="{8458AB79-FFFB-4A89-AE9F-D8EBB2C10E89}"/>
  </bookViews>
  <sheets>
    <sheet name="Ceny (CZE)" sheetId="1" r:id="rId1"/>
    <sheet name="Checklist_CZE" sheetId="3" r:id="rId2"/>
    <sheet name="Checklist_ENG (in progress)" sheetId="4" r:id="rId3"/>
  </sheets>
  <externalReferences>
    <externalReference r:id="rId4"/>
  </externalReferences>
  <definedNames>
    <definedName name="COPY_QUOTE">OFFSET([1]QUOTATION!$B$1,0,0,[1]QUOTATION!$J$1,7)</definedName>
    <definedName name="dep_term">'[1]rental price model'!$U$4</definedName>
    <definedName name="depr_perc">'[1]rental price model'!$U$5</definedName>
    <definedName name="euro">[1]kalkulace!$J$1</definedName>
    <definedName name="interest">'[1]rental price model'!$U$3</definedName>
    <definedName name="konfig_kod">#REF!</definedName>
    <definedName name="model">#REF!</definedName>
    <definedName name="_xlnm.Print_Area" localSheetId="0">'Ceny (CZE)'!$A$1:$H$47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24" i="1" l="1"/>
  <c r="G16" i="1"/>
  <c r="E15" i="1"/>
  <c r="G15" i="1" s="1"/>
  <c r="G19" i="1"/>
  <c r="E19" i="1"/>
  <c r="G9" i="1"/>
  <c r="G18" i="1"/>
  <c r="E18" i="1" l="1"/>
  <c r="E25" i="1" l="1"/>
  <c r="G25" i="1"/>
  <c r="G13" i="1" l="1"/>
  <c r="E17" i="1"/>
  <c r="E22" i="1"/>
  <c r="G12" i="1"/>
  <c r="G23" i="1"/>
  <c r="G22" i="1"/>
  <c r="G21" i="1"/>
  <c r="G14" i="1"/>
  <c r="F14" i="1"/>
  <c r="E21" i="1"/>
  <c r="E23" i="1"/>
  <c r="E14" i="1"/>
  <c r="E13" i="1"/>
  <c r="E12" i="1"/>
  <c r="W24" i="1"/>
  <c r="X24" i="1"/>
  <c r="W25" i="1"/>
  <c r="X25" i="1"/>
  <c r="X23" i="1" l="1"/>
  <c r="X22" i="1"/>
  <c r="X19" i="1"/>
  <c r="X20" i="1"/>
  <c r="X21" i="1"/>
  <c r="X18" i="1"/>
  <c r="X15" i="1"/>
  <c r="X16" i="1"/>
  <c r="X17" i="1"/>
  <c r="X14" i="1"/>
  <c r="W23" i="1"/>
  <c r="W22" i="1"/>
  <c r="E16" i="1" l="1"/>
  <c r="F16" i="1" s="1"/>
  <c r="S15" i="1"/>
  <c r="N20" i="4" l="1"/>
  <c r="P20" i="3" l="1"/>
  <c r="E20" i="1" s="1"/>
  <c r="G20" i="1" s="1"/>
  <c r="G27" i="1" s="1"/>
  <c r="S4" i="1" l="1"/>
  <c r="S5" i="1"/>
  <c r="S6" i="1"/>
  <c r="S7" i="1"/>
  <c r="S10" i="1"/>
  <c r="R9" i="1"/>
  <c r="R4" i="1"/>
  <c r="R5" i="1"/>
  <c r="R6" i="1"/>
  <c r="R7" i="1"/>
</calcChain>
</file>

<file path=xl/sharedStrings.xml><?xml version="1.0" encoding="utf-8"?>
<sst xmlns="http://schemas.openxmlformats.org/spreadsheetml/2006/main" count="152" uniqueCount="125">
  <si>
    <t>TYP</t>
  </si>
  <si>
    <t>VELIKOST</t>
  </si>
  <si>
    <t>65"</t>
  </si>
  <si>
    <t>43"</t>
  </si>
  <si>
    <t>49"</t>
  </si>
  <si>
    <t>75"</t>
  </si>
  <si>
    <t>82"</t>
  </si>
  <si>
    <t>350 nitů</t>
  </si>
  <si>
    <t>500 nitů</t>
  </si>
  <si>
    <t>55"</t>
  </si>
  <si>
    <t>85"</t>
  </si>
  <si>
    <t>PC</t>
  </si>
  <si>
    <t>Kabely</t>
  </si>
  <si>
    <t>TYP MODULU</t>
  </si>
  <si>
    <t>typ modulu</t>
  </si>
  <si>
    <t>barva profilu</t>
  </si>
  <si>
    <t>velikost</t>
  </si>
  <si>
    <t>VELIKOST DISPLEJE</t>
  </si>
  <si>
    <t>SPECIFIKACE PC</t>
  </si>
  <si>
    <t>TLAČÍTKA / PORTY</t>
  </si>
  <si>
    <t>KABELY</t>
  </si>
  <si>
    <t>internet</t>
  </si>
  <si>
    <t>pc</t>
  </si>
  <si>
    <t>OMEGA - BARVA PROFILŮ</t>
  </si>
  <si>
    <t>SVÍTIVOST DISPLEJE</t>
  </si>
  <si>
    <t>umístění (zadní strana, spodní modul, atd.)</t>
  </si>
  <si>
    <t>svítivost</t>
  </si>
  <si>
    <t>tlačítka</t>
  </si>
  <si>
    <t>INTERNET</t>
  </si>
  <si>
    <t>HDMI</t>
  </si>
  <si>
    <t>USB</t>
  </si>
  <si>
    <t>AUDIO</t>
  </si>
  <si>
    <t>KOMPONENTY</t>
  </si>
  <si>
    <t>kabely</t>
  </si>
  <si>
    <t>komponenty</t>
  </si>
  <si>
    <t>SKLO</t>
  </si>
  <si>
    <t>DESIGN RÁMEČKU</t>
  </si>
  <si>
    <t>barva</t>
  </si>
  <si>
    <t>TIPY</t>
  </si>
  <si>
    <t>design</t>
  </si>
  <si>
    <t>sklo</t>
  </si>
  <si>
    <t>OMEGA - FRAME COLOR</t>
  </si>
  <si>
    <t>DISPLAY BRIGHTNESS</t>
  </si>
  <si>
    <t>DISPLAY SIZE</t>
  </si>
  <si>
    <t>PC SPECS</t>
  </si>
  <si>
    <t>POWER BUTTON and PORTS</t>
  </si>
  <si>
    <t>GLASS</t>
  </si>
  <si>
    <t>FRAME DESIGN</t>
  </si>
  <si>
    <t>CABLES</t>
  </si>
  <si>
    <t>placement (back side, bottom module, etc.)</t>
  </si>
  <si>
    <t>COMPONENTS</t>
  </si>
  <si>
    <t>TIPS</t>
  </si>
  <si>
    <t>color</t>
  </si>
  <si>
    <t>MODULE TYPE</t>
  </si>
  <si>
    <t>visualization</t>
  </si>
  <si>
    <t>extra HDMI</t>
  </si>
  <si>
    <t>extra USB</t>
  </si>
  <si>
    <t>extra ?</t>
  </si>
  <si>
    <t>TLAČÍTKA</t>
  </si>
  <si>
    <t>* lead time 8 weeks</t>
  </si>
  <si>
    <t>* dodací doba 12 týdnů</t>
  </si>
  <si>
    <t>pouze se svítivostí 500</t>
  </si>
  <si>
    <t>pouze se svítivostí 350</t>
  </si>
  <si>
    <t>Tlačítko</t>
  </si>
  <si>
    <t>BARVA PROFILŮ</t>
  </si>
  <si>
    <t>EXTRA KABELY</t>
  </si>
  <si>
    <t>Jiná barva profilů</t>
  </si>
  <si>
    <t>BARVA RÁMEČKU</t>
  </si>
  <si>
    <t>Barva rámečku</t>
  </si>
  <si>
    <t xml:space="preserve">černá </t>
  </si>
  <si>
    <t>mléčná</t>
  </si>
  <si>
    <t>jiná</t>
  </si>
  <si>
    <t>design klienta</t>
  </si>
  <si>
    <t>Vizualizace</t>
  </si>
  <si>
    <t>Sklo</t>
  </si>
  <si>
    <t>dotykové</t>
  </si>
  <si>
    <t>obyčejné</t>
  </si>
  <si>
    <t>Rozdíl v ceně</t>
  </si>
  <si>
    <t>Svítivost</t>
  </si>
  <si>
    <t>CELKEM NÁKLADOVÁ CENA OD VÝVOJE</t>
  </si>
  <si>
    <t>VIZUALIZACE a DESIGN</t>
  </si>
  <si>
    <t>UMÍSTĚNÍ KOMPONENTŮ</t>
  </si>
  <si>
    <t>Komponenty</t>
  </si>
  <si>
    <t>uvnitř</t>
  </si>
  <si>
    <t>jinde</t>
  </si>
  <si>
    <t>v místnosti</t>
  </si>
  <si>
    <t>CENOVÁ NABÍDKA</t>
  </si>
  <si>
    <t>fólie</t>
  </si>
  <si>
    <t>Ozvučení integrované v příčce – celá čelní strana funguje jako reproduktor</t>
  </si>
  <si>
    <t>Kompatibilní s kapacitním stylusem pro snadnější psaní</t>
  </si>
  <si>
    <t>Vzdálená podpora LIKO-S pomocí aplikace SplashTop Business</t>
  </si>
  <si>
    <t>Zdarma instalace a update vlastní SMART-i-WALL aplikace (prosinec 2019)</t>
  </si>
  <si>
    <t>Záruka 2 roky na všechny komponenty</t>
  </si>
  <si>
    <t>Nejnovější QLED 4K průmyslový displej Samsung</t>
  </si>
  <si>
    <t>Interaktivní fólie (až 10 dotykových bodů) a přednastavené gesta pro snadné ovládání</t>
  </si>
  <si>
    <t>Průmyslový LIKO-S PC pro provoz 24/7</t>
  </si>
  <si>
    <t>Propojení zajištěno 4K certifikovanými HDMI/DisplayPort kabely</t>
  </si>
  <si>
    <t>Co je SMART-i-WALL?</t>
  </si>
  <si>
    <t>V ceně doprava, instalace, kalibrace, a školení u zákazníka (ČR)</t>
  </si>
  <si>
    <t>CONFERENCE CAMERA</t>
  </si>
  <si>
    <t>KONFERENČNÍ KAMERA</t>
  </si>
  <si>
    <t>DOPRAVA A MONTÁŽ</t>
  </si>
  <si>
    <t>montáž</t>
  </si>
  <si>
    <t>kamera</t>
  </si>
  <si>
    <t>KAMERA</t>
  </si>
  <si>
    <t>Kamera</t>
  </si>
  <si>
    <t>PODPORA VÝVOJE</t>
  </si>
  <si>
    <t>Podpora</t>
  </si>
  <si>
    <t>standard</t>
  </si>
  <si>
    <t>ex works</t>
  </si>
  <si>
    <t>Logitech MeetUp</t>
  </si>
  <si>
    <t>Owl 360</t>
  </si>
  <si>
    <t>ZVUK</t>
  </si>
  <si>
    <t>zvuk</t>
  </si>
  <si>
    <t>Zvuk</t>
  </si>
  <si>
    <t>Standard</t>
  </si>
  <si>
    <t>Extra</t>
  </si>
  <si>
    <t>Ne</t>
  </si>
  <si>
    <t>STANDARDNÍ NÁKLADOVÁ CENA - OMEGA</t>
  </si>
  <si>
    <t>Bezdrátová klávesnice s touchpadem</t>
  </si>
  <si>
    <t>Špičkový design, whiteboard, konference a prostředí Windows ovládané dotykovými gesty</t>
  </si>
  <si>
    <t>4K UHD konferenční kamera</t>
  </si>
  <si>
    <t>Premium</t>
  </si>
  <si>
    <t>Relativní ceny displejů a fólií</t>
  </si>
  <si>
    <t>Ceny displejů</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</si>
</sst>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 #,##0.00\ &quot;Kč&quot;_-;\-* #,##0.00\ &quot;Kč&quot;_-;_-* &quot;-&quot;??\ &quot;Kč&quot;_-;_-@_-"/>
    <numFmt numFmtId="164" formatCode="_-* #,##0\ [$Kč-405]_-;\-* #,##0\ [$Kč-405]_-;_-* &quot;-&quot;??\ [$Kč-405]_-;_-@_-"/>
    <numFmt numFmtId="165" formatCode="_-* #,##0\ &quot;Kč&quot;_-;\-* #,##0\ &quot;Kč&quot;_-;_-* &quot;-&quot;??\ &quot;Kč&quot;_-;_-@_-"/>
  </numFmts>
  <fonts count="24" x14ac:knownFonts="1">
    <font>
      <sz val="11"/>
      <color theme="1"/>
      <name val="Calibri"/>
      <family val="2"/>
      <charset val="238"/>
      <scheme val="minor"/>
    </font>
    <font>
      <sz val="11"/>
      <color theme="1"/>
      <name val="Calibri"/>
      <family val="2"/>
      <scheme val="minor"/>
    </font>
    <font>
      <b/>
      <sz val="11"/>
      <color theme="1"/>
      <name val="Calibri"/>
      <family val="2"/>
      <charset val="238"/>
      <scheme val="minor"/>
    </font>
    <font>
      <sz val="11"/>
      <color theme="1"/>
      <name val="Wingdings"/>
      <charset val="2"/>
    </font>
    <font>
      <b/>
      <sz val="11"/>
      <color theme="7" tint="-0.499984740745262"/>
      <name val="Calibri"/>
      <family val="2"/>
      <charset val="238"/>
      <scheme val="minor"/>
    </font>
    <font>
      <sz val="11"/>
      <name val="Calibri"/>
      <family val="2"/>
      <charset val="238"/>
      <scheme val="minor"/>
    </font>
    <font>
      <b/>
      <sz val="11"/>
      <color theme="9" tint="-0.249977111117893"/>
      <name val="Calibri"/>
      <family val="2"/>
      <charset val="238"/>
      <scheme val="minor"/>
    </font>
    <font>
      <b/>
      <sz val="11"/>
      <color rgb="FFC00000"/>
      <name val="Calibri"/>
      <family val="2"/>
      <charset val="238"/>
      <scheme val="minor"/>
    </font>
    <font>
      <u/>
      <sz val="11"/>
      <color theme="10"/>
      <name val="Calibri"/>
      <family val="2"/>
      <scheme val="minor"/>
    </font>
    <font>
      <sz val="14"/>
      <color theme="1"/>
      <name val="Calibri"/>
      <family val="2"/>
      <charset val="238"/>
      <scheme val="minor"/>
    </font>
    <font>
      <sz val="7"/>
      <color theme="1"/>
      <name val="Calibri"/>
      <family val="2"/>
      <charset val="238"/>
      <scheme val="minor"/>
    </font>
    <font>
      <sz val="8"/>
      <color theme="1"/>
      <name val="Calibri"/>
      <family val="2"/>
      <charset val="238"/>
      <scheme val="minor"/>
    </font>
    <font>
      <sz val="8"/>
      <color rgb="FF000000"/>
      <name val="Segoe UI"/>
      <family val="2"/>
      <charset val="238"/>
    </font>
    <font>
      <sz val="9"/>
      <color theme="1"/>
      <name val="Calibri"/>
      <family val="2"/>
      <charset val="238"/>
      <scheme val="minor"/>
    </font>
    <font>
      <sz val="11"/>
      <color rgb="FF000000"/>
      <name val="Calibri"/>
      <family val="2"/>
      <charset val="238"/>
    </font>
    <font>
      <sz val="11"/>
      <color theme="1"/>
      <name val="Calibri"/>
      <family val="2"/>
      <charset val="238"/>
      <scheme val="minor"/>
    </font>
    <font>
      <b/>
      <sz val="11"/>
      <color rgb="FFFF0000"/>
      <name val="Calibri"/>
      <family val="2"/>
      <charset val="238"/>
      <scheme val="minor"/>
    </font>
    <font>
      <i/>
      <sz val="11"/>
      <color theme="1"/>
      <name val="Calibri"/>
      <family val="2"/>
      <charset val="238"/>
      <scheme val="minor"/>
    </font>
    <font>
      <b/>
      <sz val="11"/>
      <name val="Calibri"/>
      <family val="2"/>
      <charset val="238"/>
      <scheme val="minor"/>
    </font>
    <font>
      <b/>
      <u val="singleAccounting"/>
      <sz val="11"/>
      <name val="Calibri"/>
      <family val="2"/>
      <charset val="238"/>
      <scheme val="minor"/>
    </font>
    <font>
      <sz val="16"/>
      <color theme="1"/>
      <name val="Calibri"/>
      <family val="2"/>
      <charset val="238"/>
      <scheme val="minor"/>
    </font>
    <font>
      <b/>
      <sz val="11"/>
      <color theme="1" tint="0.249977111117893"/>
      <name val="Calibri"/>
      <family val="2"/>
      <charset val="238"/>
      <scheme val="minor"/>
    </font>
    <font>
      <sz val="11"/>
      <color theme="1" tint="0.249977111117893"/>
      <name val="Calibri"/>
      <family val="2"/>
      <charset val="238"/>
      <scheme val="minor"/>
    </font>
    <font>
      <b/>
      <u/>
      <sz val="11"/>
      <name val="Calibri"/>
      <family val="2"/>
      <charset val="238"/>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s>
  <cellStyleXfs count="4">
    <xf numFmtId="0" fontId="0" fillId="0" borderId="0"/>
    <xf numFmtId="0" fontId="1" fillId="0" borderId="0"/>
    <xf numFmtId="0" fontId="8" fillId="0" borderId="0" applyNumberFormat="0" applyFill="0" applyBorder="0" applyAlignment="0" applyProtection="0"/>
    <xf numFmtId="44" fontId="15" fillId="0" borderId="0" applyFont="0" applyFill="0" applyBorder="0" applyAlignment="0" applyProtection="0"/>
  </cellStyleXfs>
  <cellXfs count="100">
    <xf numFmtId="0" fontId="0" fillId="0" borderId="0" xfId="0"/>
    <xf numFmtId="0" fontId="3" fillId="0" borderId="0" xfId="0" applyFont="1"/>
    <xf numFmtId="0" fontId="4" fillId="0" borderId="0" xfId="0" applyFont="1" applyAlignment="1">
      <alignment horizontal="center"/>
    </xf>
    <xf numFmtId="164" fontId="0" fillId="0" borderId="0" xfId="0" applyNumberFormat="1" applyAlignment="1">
      <alignment horizontal="center"/>
    </xf>
    <xf numFmtId="164" fontId="0" fillId="0" borderId="0" xfId="0" applyNumberFormat="1" applyAlignment="1">
      <alignment horizontal="left"/>
    </xf>
    <xf numFmtId="164" fontId="0" fillId="0" borderId="0" xfId="0" applyNumberFormat="1" applyAlignment="1">
      <alignment horizontal="right"/>
    </xf>
    <xf numFmtId="164" fontId="5" fillId="0" borderId="0" xfId="0" quotePrefix="1" applyNumberFormat="1" applyFont="1" applyAlignment="1">
      <alignment horizontal="center"/>
    </xf>
    <xf numFmtId="164" fontId="6" fillId="0" borderId="0" xfId="0" applyNumberFormat="1" applyFont="1" applyAlignment="1">
      <alignment horizontal="center"/>
    </xf>
    <xf numFmtId="164" fontId="7" fillId="0" borderId="0" xfId="0" applyNumberFormat="1" applyFont="1" applyAlignment="1">
      <alignment horizontal="center"/>
    </xf>
    <xf numFmtId="164" fontId="7" fillId="0" borderId="0" xfId="0" applyNumberFormat="1" applyFont="1" applyAlignment="1"/>
    <xf numFmtId="0" fontId="4" fillId="0" borderId="0" xfId="0" applyFont="1" applyAlignment="1"/>
    <xf numFmtId="164" fontId="7" fillId="0" borderId="0" xfId="0" quotePrefix="1" applyNumberFormat="1" applyFont="1" applyAlignment="1"/>
    <xf numFmtId="0" fontId="9" fillId="0" borderId="0" xfId="0" applyFont="1"/>
    <xf numFmtId="0" fontId="0" fillId="0" borderId="0" xfId="0" applyBorder="1"/>
    <xf numFmtId="0" fontId="10" fillId="0" borderId="0" xfId="0" applyFont="1"/>
    <xf numFmtId="0" fontId="10" fillId="0" borderId="0" xfId="0" applyFont="1" applyAlignment="1">
      <alignment horizontal="center" vertical="center"/>
    </xf>
    <xf numFmtId="0" fontId="10" fillId="0" borderId="0" xfId="0" applyFont="1" applyAlignment="1">
      <alignment horizontal="right" vertical="center"/>
    </xf>
    <xf numFmtId="0" fontId="11" fillId="0" borderId="0" xfId="0" applyFont="1" applyAlignment="1">
      <alignment vertical="center"/>
    </xf>
    <xf numFmtId="0" fontId="11" fillId="0" borderId="0" xfId="0" applyFont="1" applyBorder="1" applyAlignment="1">
      <alignment horizontal="center" vertical="center"/>
    </xf>
    <xf numFmtId="0" fontId="13" fillId="0" borderId="0" xfId="0" applyFont="1"/>
    <xf numFmtId="0" fontId="13" fillId="0" borderId="0" xfId="0" applyFont="1" applyAlignment="1">
      <alignment horizontal="left" indent="1"/>
    </xf>
    <xf numFmtId="0" fontId="11" fillId="0" borderId="0" xfId="0" applyFont="1" applyAlignment="1"/>
    <xf numFmtId="0" fontId="11" fillId="0" borderId="0" xfId="0" applyFont="1" applyAlignment="1">
      <alignment horizontal="right"/>
    </xf>
    <xf numFmtId="0" fontId="0" fillId="0" borderId="3" xfId="0" applyBorder="1"/>
    <xf numFmtId="0" fontId="9" fillId="0" borderId="0" xfId="0" applyFont="1" applyAlignment="1">
      <alignment horizontal="left" indent="1"/>
    </xf>
    <xf numFmtId="0" fontId="9" fillId="0" borderId="0" xfId="0" applyFont="1" applyAlignment="1">
      <alignment horizontal="left" indent="4"/>
    </xf>
    <xf numFmtId="0" fontId="10" fillId="0" borderId="0" xfId="0" applyFont="1" applyAlignment="1" applyProtection="1">
      <alignment horizontal="center" vertical="center"/>
      <protection locked="0"/>
    </xf>
    <xf numFmtId="0" fontId="0" fillId="0" borderId="0" xfId="0" applyBorder="1" applyProtection="1">
      <protection locked="0"/>
    </xf>
    <xf numFmtId="0" fontId="0" fillId="0" borderId="0" xfId="0" applyProtection="1">
      <protection locked="0"/>
    </xf>
    <xf numFmtId="0" fontId="11" fillId="0" borderId="0" xfId="0" applyFont="1" applyAlignment="1">
      <alignment horizontal="left" vertical="center" indent="4"/>
    </xf>
    <xf numFmtId="165" fontId="0" fillId="0" borderId="0" xfId="3" applyNumberFormat="1" applyFont="1"/>
    <xf numFmtId="0" fontId="2" fillId="0" borderId="0" xfId="0" applyFont="1"/>
    <xf numFmtId="165" fontId="2" fillId="0" borderId="0" xfId="3" applyNumberFormat="1" applyFont="1"/>
    <xf numFmtId="0" fontId="7" fillId="0" borderId="0" xfId="0" applyFont="1" applyAlignment="1">
      <alignment horizontal="center"/>
    </xf>
    <xf numFmtId="165" fontId="16" fillId="0" borderId="0" xfId="3" applyNumberFormat="1" applyFont="1" applyAlignment="1">
      <alignment horizontal="left"/>
    </xf>
    <xf numFmtId="165" fontId="17" fillId="0" borderId="0" xfId="3" applyNumberFormat="1" applyFont="1"/>
    <xf numFmtId="0" fontId="11" fillId="0" borderId="0" xfId="0" applyFont="1" applyBorder="1" applyAlignment="1">
      <alignment horizontal="center"/>
    </xf>
    <xf numFmtId="0" fontId="10" fillId="0" borderId="0" xfId="0" applyFont="1" applyAlignment="1">
      <alignment horizontal="center"/>
    </xf>
    <xf numFmtId="165" fontId="0" fillId="0" borderId="0" xfId="0" applyNumberFormat="1"/>
    <xf numFmtId="0" fontId="2" fillId="0" borderId="0" xfId="0" applyFont="1" applyAlignment="1"/>
    <xf numFmtId="0" fontId="2" fillId="0" borderId="0" xfId="0" applyFont="1" applyAlignment="1">
      <alignment horizontal="right"/>
    </xf>
    <xf numFmtId="0" fontId="17" fillId="0" borderId="0" xfId="0" applyFont="1" applyAlignment="1">
      <alignment horizontal="right"/>
    </xf>
    <xf numFmtId="0" fontId="18" fillId="0" borderId="0" xfId="0" applyFont="1" applyAlignment="1">
      <alignment horizontal="left"/>
    </xf>
    <xf numFmtId="0" fontId="5" fillId="0" borderId="0" xfId="0" applyFont="1"/>
    <xf numFmtId="165" fontId="19" fillId="0" borderId="0" xfId="0" applyNumberFormat="1" applyFont="1"/>
    <xf numFmtId="0" fontId="20" fillId="2" borderId="0" xfId="0" applyFont="1" applyFill="1"/>
    <xf numFmtId="0" fontId="0" fillId="2" borderId="0" xfId="0" applyFill="1"/>
    <xf numFmtId="0" fontId="0" fillId="2" borderId="0" xfId="0" applyFill="1" applyAlignment="1">
      <alignment horizontal="center"/>
    </xf>
    <xf numFmtId="0" fontId="4" fillId="2" borderId="0" xfId="0" applyFont="1" applyFill="1" applyAlignment="1"/>
    <xf numFmtId="0" fontId="3" fillId="2" borderId="0" xfId="0" applyFont="1" applyFill="1"/>
    <xf numFmtId="164" fontId="7" fillId="2" borderId="0" xfId="0" applyNumberFormat="1" applyFont="1" applyFill="1" applyAlignment="1"/>
    <xf numFmtId="0" fontId="0" fillId="0" borderId="0" xfId="0" applyFill="1"/>
    <xf numFmtId="0" fontId="2" fillId="0" borderId="0" xfId="0" applyFont="1" applyAlignment="1">
      <alignment horizontal="center"/>
    </xf>
    <xf numFmtId="0" fontId="0" fillId="0" borderId="0" xfId="0" applyFont="1"/>
    <xf numFmtId="0" fontId="0" fillId="0" borderId="0" xfId="0" applyFont="1" applyAlignment="1">
      <alignment horizontal="center"/>
    </xf>
    <xf numFmtId="0" fontId="0" fillId="0" borderId="0" xfId="0" applyFont="1" applyAlignment="1">
      <alignment horizontal="left"/>
    </xf>
    <xf numFmtId="0" fontId="0" fillId="0" borderId="0" xfId="0" applyFont="1" applyFill="1" applyAlignment="1">
      <alignment horizontal="center"/>
    </xf>
    <xf numFmtId="0" fontId="4" fillId="0" borderId="0" xfId="0" applyFont="1" applyFill="1" applyAlignment="1"/>
    <xf numFmtId="0" fontId="3" fillId="0" borderId="0" xfId="0" applyFont="1" applyFill="1"/>
    <xf numFmtId="164" fontId="7" fillId="0" borderId="0" xfId="0" applyNumberFormat="1" applyFont="1" applyFill="1" applyAlignment="1"/>
    <xf numFmtId="0" fontId="17" fillId="0" borderId="0" xfId="0" applyFont="1" applyAlignment="1">
      <alignment horizontal="left"/>
    </xf>
    <xf numFmtId="0" fontId="21" fillId="0" borderId="0" xfId="0" applyFont="1" applyAlignment="1">
      <alignment vertical="center"/>
    </xf>
    <xf numFmtId="0" fontId="21" fillId="0" borderId="0" xfId="0" applyFont="1"/>
    <xf numFmtId="0" fontId="22" fillId="0" borderId="0" xfId="0" applyFont="1"/>
    <xf numFmtId="0" fontId="22" fillId="0" borderId="0" xfId="0" applyFont="1" applyAlignment="1">
      <alignment horizontal="left"/>
    </xf>
    <xf numFmtId="0" fontId="22" fillId="0" borderId="0" xfId="0" applyFont="1" applyAlignment="1">
      <alignment horizontal="center"/>
    </xf>
    <xf numFmtId="0" fontId="21" fillId="0" borderId="0" xfId="0" applyFont="1" applyAlignment="1">
      <alignment horizontal="center"/>
    </xf>
    <xf numFmtId="0" fontId="22" fillId="0" borderId="0" xfId="0" applyFont="1" applyFill="1" applyAlignment="1">
      <alignment horizontal="center"/>
    </xf>
    <xf numFmtId="164" fontId="21" fillId="0" borderId="0" xfId="0" applyNumberFormat="1" applyFont="1" applyAlignment="1">
      <alignment horizontal="center"/>
    </xf>
    <xf numFmtId="0" fontId="23" fillId="0" borderId="0" xfId="0" applyFont="1" applyAlignment="1">
      <alignment horizontal="left"/>
    </xf>
    <xf numFmtId="0" fontId="21" fillId="0" borderId="0" xfId="0" applyFont="1" applyAlignment="1">
      <alignment horizontal="left"/>
    </xf>
    <xf numFmtId="0" fontId="17" fillId="0" borderId="0" xfId="0" applyFont="1" applyAlignment="1">
      <alignment horizontal="center"/>
    </xf>
    <xf numFmtId="0" fontId="17" fillId="0" borderId="0" xfId="0" applyFont="1"/>
    <xf numFmtId="0" fontId="9" fillId="0" borderId="0" xfId="0" applyFont="1" applyProtection="1">
      <protection locked="0"/>
    </xf>
    <xf numFmtId="0" fontId="10" fillId="0" borderId="0" xfId="0" applyFont="1" applyAlignment="1" applyProtection="1">
      <alignment horizontal="right" vertical="center"/>
      <protection locked="0"/>
    </xf>
    <xf numFmtId="0" fontId="13" fillId="0" borderId="0" xfId="0" applyFont="1" applyProtection="1">
      <protection locked="0"/>
    </xf>
    <xf numFmtId="0" fontId="9" fillId="0" borderId="0" xfId="0" applyFont="1" applyAlignment="1" applyProtection="1">
      <alignment horizontal="left" indent="1"/>
      <protection locked="0"/>
    </xf>
    <xf numFmtId="0" fontId="11" fillId="0" borderId="0" xfId="0" applyFont="1" applyAlignment="1" applyProtection="1">
      <alignment horizontal="left" vertical="center" indent="4"/>
      <protection locked="0"/>
    </xf>
    <xf numFmtId="0" fontId="9" fillId="0" borderId="0" xfId="0" applyFont="1" applyAlignment="1" applyProtection="1">
      <alignment horizontal="left" indent="4"/>
      <protection locked="0"/>
    </xf>
    <xf numFmtId="0" fontId="11" fillId="0" borderId="0" xfId="0" applyFont="1" applyBorder="1" applyAlignment="1" applyProtection="1">
      <alignment horizontal="center" vertical="center"/>
      <protection locked="0"/>
    </xf>
    <xf numFmtId="0" fontId="11" fillId="0" borderId="0" xfId="0" applyFont="1" applyAlignment="1" applyProtection="1">
      <alignment vertical="center"/>
      <protection locked="0"/>
    </xf>
    <xf numFmtId="0" fontId="11" fillId="0" borderId="0" xfId="0" applyFont="1" applyAlignment="1" applyProtection="1">
      <alignment horizontal="right"/>
      <protection locked="0"/>
    </xf>
    <xf numFmtId="0" fontId="0" fillId="0" borderId="3" xfId="0" applyBorder="1" applyProtection="1">
      <protection locked="0"/>
    </xf>
    <xf numFmtId="0" fontId="13" fillId="0" borderId="0" xfId="0" applyFont="1" applyAlignment="1" applyProtection="1">
      <alignment horizontal="left" indent="4"/>
      <protection locked="0"/>
    </xf>
    <xf numFmtId="0" fontId="11" fillId="0" borderId="0" xfId="0" applyFont="1" applyBorder="1" applyAlignment="1" applyProtection="1">
      <alignment horizontal="center"/>
      <protection locked="0"/>
    </xf>
    <xf numFmtId="0" fontId="11" fillId="0" borderId="0" xfId="0" applyFont="1" applyAlignment="1" applyProtection="1">
      <protection locked="0"/>
    </xf>
    <xf numFmtId="0" fontId="9" fillId="0" borderId="0" xfId="0" applyFont="1" applyAlignment="1" applyProtection="1">
      <alignment horizontal="left" indent="5"/>
      <protection locked="0"/>
    </xf>
    <xf numFmtId="0" fontId="10" fillId="0" borderId="0" xfId="0" applyFont="1" applyAlignment="1" applyProtection="1">
      <alignment horizontal="right" vertical="center"/>
    </xf>
    <xf numFmtId="0" fontId="10" fillId="0" borderId="0" xfId="0" applyFont="1" applyAlignment="1" applyProtection="1">
      <alignment horizontal="center" vertical="center"/>
    </xf>
    <xf numFmtId="0" fontId="10" fillId="0" borderId="0" xfId="0" applyFont="1" applyProtection="1"/>
    <xf numFmtId="0" fontId="0" fillId="0" borderId="0" xfId="0" applyProtection="1"/>
    <xf numFmtId="0" fontId="10" fillId="0" borderId="0" xfId="0" applyFont="1" applyAlignment="1" applyProtection="1">
      <alignment horizontal="center"/>
    </xf>
    <xf numFmtId="0" fontId="10" fillId="0" borderId="0" xfId="0" applyFont="1" applyProtection="1">
      <protection locked="0"/>
    </xf>
    <xf numFmtId="0" fontId="2" fillId="0" borderId="0" xfId="0" applyFont="1" applyAlignment="1">
      <alignment horizontal="center"/>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3" xfId="0" applyBorder="1" applyAlignment="1" applyProtection="1">
      <alignment horizontal="center"/>
      <protection locked="0"/>
    </xf>
    <xf numFmtId="0" fontId="11" fillId="0" borderId="1" xfId="0" applyFont="1" applyBorder="1" applyAlignment="1">
      <alignment horizontal="center" vertical="center"/>
    </xf>
    <xf numFmtId="0" fontId="11" fillId="0" borderId="2" xfId="0" applyFont="1" applyBorder="1" applyAlignment="1">
      <alignment horizontal="center" vertical="center"/>
    </xf>
    <xf numFmtId="0" fontId="0" fillId="0" borderId="3" xfId="0" applyBorder="1" applyAlignment="1">
      <alignment horizontal="center"/>
    </xf>
  </cellXfs>
  <cellStyles count="4">
    <cellStyle name="Currency" xfId="3" builtinId="4"/>
    <cellStyle name="Hyperlink 2" xfId="2" xr:uid="{EDBF64B2-874A-4EC9-B2D8-A6BE441126F2}"/>
    <cellStyle name="Normal" xfId="0" builtinId="0"/>
    <cellStyle name="Normal 2" xfId="1" xr:uid="{D401E688-6981-4ECA-BB86-4FA20E38A117}"/>
  </cellStyles>
  <dxfs count="20">
    <dxf>
      <font>
        <color theme="0" tint="-0.24994659260841701"/>
      </font>
      <fill>
        <patternFill patternType="none">
          <bgColor auto="1"/>
        </patternFill>
      </fill>
    </dxf>
    <dxf>
      <fill>
        <patternFill>
          <bgColor rgb="FFFFC000"/>
        </patternFill>
      </fill>
    </dxf>
    <dxf>
      <font>
        <color theme="0" tint="-0.24994659260841701"/>
      </font>
    </dxf>
    <dxf>
      <font>
        <color theme="0" tint="-0.24994659260841701"/>
      </font>
    </dxf>
    <dxf>
      <font>
        <b/>
        <i val="0"/>
        <color theme="9" tint="-0.24994659260841701"/>
      </font>
    </dxf>
    <dxf>
      <font>
        <b/>
        <i val="0"/>
        <color rgb="FFFF0000"/>
      </font>
    </dxf>
    <dxf>
      <font>
        <b val="0"/>
        <i val="0"/>
        <color theme="1"/>
      </font>
    </dxf>
    <dxf>
      <font>
        <b/>
        <i val="0"/>
        <color theme="9" tint="-0.24994659260841701"/>
      </font>
    </dxf>
    <dxf>
      <font>
        <b/>
        <i val="0"/>
        <color rgb="FFFF0000"/>
      </font>
    </dxf>
    <dxf>
      <font>
        <b val="0"/>
        <i val="0"/>
        <color theme="1"/>
      </font>
    </dxf>
    <dxf>
      <font>
        <b/>
        <i val="0"/>
        <color theme="9" tint="-0.24994659260841701"/>
      </font>
    </dxf>
    <dxf>
      <font>
        <b/>
        <i val="0"/>
        <color auto="1"/>
      </font>
    </dxf>
    <dxf>
      <font>
        <b val="0"/>
        <i val="0"/>
        <color theme="1"/>
      </font>
    </dxf>
    <dxf>
      <font>
        <b val="0"/>
        <i val="0"/>
        <color theme="4"/>
      </font>
    </dxf>
    <dxf>
      <font>
        <b/>
        <i val="0"/>
        <color theme="9" tint="-0.24994659260841701"/>
      </font>
    </dxf>
    <dxf>
      <font>
        <b/>
        <i val="0"/>
        <color rgb="FFFF0000"/>
      </font>
    </dxf>
    <dxf>
      <font>
        <b val="0"/>
        <i val="0"/>
        <color theme="1"/>
      </font>
    </dxf>
    <dxf>
      <font>
        <b/>
        <i val="0"/>
        <color theme="9" tint="-0.24994659260841701"/>
      </font>
    </dxf>
    <dxf>
      <font>
        <b/>
        <i val="0"/>
        <color theme="1"/>
      </font>
    </dxf>
    <dxf>
      <font>
        <b val="0"/>
        <i val="0"/>
        <color theme="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externalLink" Target="externalLinks/externalLink1.xml"/><Relationship Id="rId9" Type="http://schemas.openxmlformats.org/officeDocument/2006/relationships/customXml" Target="../customXml/item1.xml"/></Relationships>
</file>

<file path=xl/ctrlProps/ctrlProp1.xml><?xml version="1.0" encoding="utf-8"?>
<formControlPr xmlns="http://schemas.microsoft.com/office/spreadsheetml/2009/9/main" objectType="Radio" checked="Checked" firstButton="1" fmlaLink="$O$19"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firstButton="1" fmlaLink="$O$20"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firstButton="1" fmlaLink="$O$21"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checked="Checked"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checked="Checked" firstButton="1" fmlaLink="$O$22"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Radio" checked="Checked" firstButton="1" fmlaLink="$O$23"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fmlaLink="$O$24"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Radio" checked="Checked" firstButton="1" fmlaLink="$O$27"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GBox" noThreeD="1"/>
</file>

<file path=xl/ctrlProps/ctrlProp29.xml><?xml version="1.0" encoding="utf-8"?>
<formControlPr xmlns="http://schemas.microsoft.com/office/spreadsheetml/2009/9/main" objectType="Radio" checked="Checked" firstButton="1" fmlaLink="$O$28"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Radio" checked="Checked" firstButton="1" fmlaLink="$O$25"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CheckBox" fmlaLink="$O$31" lockText="1" noThreeD="1"/>
</file>

<file path=xl/ctrlProps/ctrlProp36.xml><?xml version="1.0" encoding="utf-8"?>
<formControlPr xmlns="http://schemas.microsoft.com/office/spreadsheetml/2009/9/main" objectType="CheckBox" fmlaLink="$O$32" lockText="1" noThreeD="1"/>
</file>

<file path=xl/ctrlProps/ctrlProp37.xml><?xml version="1.0" encoding="utf-8"?>
<formControlPr xmlns="http://schemas.microsoft.com/office/spreadsheetml/2009/9/main" objectType="CheckBox" fmlaLink="$O$33" lockText="1"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Radio" checked="Checked" firstButton="1" fmlaLink="$O$26" lockText="1" noThreeD="1"/>
</file>

<file path=xl/ctrlProps/ctrlProp40.xml><?xml version="1.0" encoding="utf-8"?>
<formControlPr xmlns="http://schemas.microsoft.com/office/spreadsheetml/2009/9/main" objectType="Radio" lockText="1"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Radio" checked="Checked" firstButton="1" fmlaLink="$O$29" lockText="1" noThreeD="1"/>
</file>

<file path=xl/ctrlProps/ctrlProp43.xml><?xml version="1.0" encoding="utf-8"?>
<formControlPr xmlns="http://schemas.microsoft.com/office/spreadsheetml/2009/9/main" objectType="Radio" lockText="1" noThreeD="1"/>
</file>

<file path=xl/ctrlProps/ctrlProp44.xml><?xml version="1.0" encoding="utf-8"?>
<formControlPr xmlns="http://schemas.microsoft.com/office/spreadsheetml/2009/9/main" objectType="Radio"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CheckBox" fmlaLink="$O$30" lockText="1"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Radio" checked="Checked" lockText="1" noThreeD="1"/>
</file>

<file path=xl/ctrlProps/ctrlProp51.xml><?xml version="1.0" encoding="utf-8"?>
<formControlPr xmlns="http://schemas.microsoft.com/office/spreadsheetml/2009/9/main" objectType="CheckBox" fmlaLink="$S$27" lockText="1" noThreeD="1"/>
</file>

<file path=xl/ctrlProps/ctrlProp52.xml><?xml version="1.0" encoding="utf-8"?>
<formControlPr xmlns="http://schemas.microsoft.com/office/spreadsheetml/2009/9/main" objectType="CheckBox" fmlaLink="$S$30" lockText="1" noThreeD="1"/>
</file>

<file path=xl/ctrlProps/ctrlProp53.xml><?xml version="1.0" encoding="utf-8"?>
<formControlPr xmlns="http://schemas.microsoft.com/office/spreadsheetml/2009/9/main" objectType="CheckBox" fmlaLink="$S$29" lockText="1" noThreeD="1"/>
</file>

<file path=xl/ctrlProps/ctrlProp54.xml><?xml version="1.0" encoding="utf-8"?>
<formControlPr xmlns="http://schemas.microsoft.com/office/spreadsheetml/2009/9/main" objectType="CheckBox" fmlaLink="$S$28" lockText="1" noThreeD="1"/>
</file>

<file path=xl/ctrlProps/ctrlProp55.xml><?xml version="1.0" encoding="utf-8"?>
<formControlPr xmlns="http://schemas.microsoft.com/office/spreadsheetml/2009/9/main" objectType="CheckBox" fmlaLink="$R$27" lockText="1" noThreeD="1"/>
</file>

<file path=xl/ctrlProps/ctrlProp56.xml><?xml version="1.0" encoding="utf-8"?>
<formControlPr xmlns="http://schemas.microsoft.com/office/spreadsheetml/2009/9/main" objectType="CheckBox" fmlaLink="$R$30" lockText="1" noThreeD="1"/>
</file>

<file path=xl/ctrlProps/ctrlProp57.xml><?xml version="1.0" encoding="utf-8"?>
<formControlPr xmlns="http://schemas.microsoft.com/office/spreadsheetml/2009/9/main" objectType="CheckBox" fmlaLink="$R$29" lockText="1" noThreeD="1"/>
</file>

<file path=xl/ctrlProps/ctrlProp58.xml><?xml version="1.0" encoding="utf-8"?>
<formControlPr xmlns="http://schemas.microsoft.com/office/spreadsheetml/2009/9/main" objectType="CheckBox" fmlaLink="$R$28" lockText="1" noThreeD="1"/>
</file>

<file path=xl/ctrlProps/ctrlProp59.xml><?xml version="1.0" encoding="utf-8"?>
<formControlPr xmlns="http://schemas.microsoft.com/office/spreadsheetml/2009/9/main" objectType="CheckBox" fmlaLink="$Q$27" lockText="1" noThreeD="1"/>
</file>

<file path=xl/ctrlProps/ctrlProp60.xml><?xml version="1.0" encoding="utf-8"?>
<formControlPr xmlns="http://schemas.microsoft.com/office/spreadsheetml/2009/9/main" objectType="CheckBox" fmlaLink="$Q$30" lockText="1" noThreeD="1"/>
</file>

<file path=xl/ctrlProps/ctrlProp61.xml><?xml version="1.0" encoding="utf-8"?>
<formControlPr xmlns="http://schemas.microsoft.com/office/spreadsheetml/2009/9/main" objectType="CheckBox" fmlaLink="$Q$29" lockText="1" noThreeD="1"/>
</file>

<file path=xl/ctrlProps/ctrlProp62.xml><?xml version="1.0" encoding="utf-8"?>
<formControlPr xmlns="http://schemas.microsoft.com/office/spreadsheetml/2009/9/main" objectType="CheckBox" fmlaLink="$Q$28" lockText="1" noThreeD="1"/>
</file>

<file path=xl/ctrlProps/ctrlProp63.xml><?xml version="1.0" encoding="utf-8"?>
<formControlPr xmlns="http://schemas.microsoft.com/office/spreadsheetml/2009/9/main" objectType="GBox" noThreeD="1"/>
</file>

<file path=xl/ctrlProps/ctrlProp64.xml><?xml version="1.0" encoding="utf-8"?>
<formControlPr xmlns="http://schemas.microsoft.com/office/spreadsheetml/2009/9/main" objectType="Radio" firstButton="1" fmlaLink="$O$34" lockText="1" noThreeD="1"/>
</file>

<file path=xl/ctrlProps/ctrlProp65.xml><?xml version="1.0" encoding="utf-8"?>
<formControlPr xmlns="http://schemas.microsoft.com/office/spreadsheetml/2009/9/main" objectType="GBox" noThreeD="1"/>
</file>

<file path=xl/ctrlProps/ctrlProp66.xml><?xml version="1.0" encoding="utf-8"?>
<formControlPr xmlns="http://schemas.microsoft.com/office/spreadsheetml/2009/9/main" objectType="Radio" firstButton="1" fmlaLink="$O$36" lockText="1" noThreeD="1"/>
</file>

<file path=xl/ctrlProps/ctrlProp67.xml><?xml version="1.0" encoding="utf-8"?>
<formControlPr xmlns="http://schemas.microsoft.com/office/spreadsheetml/2009/9/main" objectType="Radio" checked="Checked" lockText="1" noThreeD="1"/>
</file>

<file path=xl/ctrlProps/ctrlProp68.xml><?xml version="1.0" encoding="utf-8"?>
<formControlPr xmlns="http://schemas.microsoft.com/office/spreadsheetml/2009/9/main" objectType="Radio" lockText="1" noThreeD="1"/>
</file>

<file path=xl/ctrlProps/ctrlProp69.xml><?xml version="1.0" encoding="utf-8"?>
<formControlPr xmlns="http://schemas.microsoft.com/office/spreadsheetml/2009/9/main" objectType="Radio" checked="Checked" lockText="1" noThreeD="1"/>
</file>

<file path=xl/ctrlProps/ctrlProp70.xml><?xml version="1.0" encoding="utf-8"?>
<formControlPr xmlns="http://schemas.microsoft.com/office/spreadsheetml/2009/9/main" objectType="GBox" noThreeD="1"/>
</file>

<file path=xl/ctrlProps/ctrlProp71.xml><?xml version="1.0" encoding="utf-8"?>
<formControlPr xmlns="http://schemas.microsoft.com/office/spreadsheetml/2009/9/main" objectType="Radio" checked="Checked" firstButton="1" fmlaLink="$O$35" lockText="1" noThreeD="1"/>
</file>

<file path=xl/ctrlProps/ctrlProp72.xml><?xml version="1.0" encoding="utf-8"?>
<formControlPr xmlns="http://schemas.microsoft.com/office/spreadsheetml/2009/9/main" objectType="Radio" lockText="1" noThreeD="1"/>
</file>

<file path=xl/ctrlProps/ctrlProp73.xml><?xml version="1.0" encoding="utf-8"?>
<formControlPr xmlns="http://schemas.microsoft.com/office/spreadsheetml/2009/9/main" objectType="Radio" lockText="1" noThreeD="1"/>
</file>

<file path=xl/ctrlProps/ctrlProp74.xml><?xml version="1.0" encoding="utf-8"?>
<formControlPr xmlns="http://schemas.microsoft.com/office/spreadsheetml/2009/9/main" objectType="Radio" firstButton="1" fmlaLink="$M$19" lockText="1" noThreeD="1"/>
</file>

<file path=xl/ctrlProps/ctrlProp75.xml><?xml version="1.0" encoding="utf-8"?>
<formControlPr xmlns="http://schemas.microsoft.com/office/spreadsheetml/2009/9/main" objectType="Radio" lockText="1" noThreeD="1"/>
</file>

<file path=xl/ctrlProps/ctrlProp76.xml><?xml version="1.0" encoding="utf-8"?>
<formControlPr xmlns="http://schemas.microsoft.com/office/spreadsheetml/2009/9/main" objectType="Radio" firstButton="1" fmlaLink="$M$20" lockText="1" noThreeD="1"/>
</file>

<file path=xl/ctrlProps/ctrlProp77.xml><?xml version="1.0" encoding="utf-8"?>
<formControlPr xmlns="http://schemas.microsoft.com/office/spreadsheetml/2009/9/main" objectType="GBox"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Radio" lockText="1" noThreeD="1"/>
</file>

<file path=xl/ctrlProps/ctrlProp80.xml><?xml version="1.0" encoding="utf-8"?>
<formControlPr xmlns="http://schemas.microsoft.com/office/spreadsheetml/2009/9/main" objectType="Radio" lockText="1" noThreeD="1"/>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Radio" firstButton="1" fmlaLink="$M$21"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Radio" lockText="1" noThreeD="1"/>
</file>

<file path=xl/ctrlProps/ctrlProp85.xml><?xml version="1.0" encoding="utf-8"?>
<formControlPr xmlns="http://schemas.microsoft.com/office/spreadsheetml/2009/9/main" objectType="Radio" lockText="1" noThreeD="1"/>
</file>

<file path=xl/ctrlProps/ctrlProp86.xml><?xml version="1.0" encoding="utf-8"?>
<formControlPr xmlns="http://schemas.microsoft.com/office/spreadsheetml/2009/9/main" objectType="Radio" lockText="1" noThreeD="1"/>
</file>

<file path=xl/ctrlProps/ctrlProp87.xml><?xml version="1.0" encoding="utf-8"?>
<formControlPr xmlns="http://schemas.microsoft.com/office/spreadsheetml/2009/9/main" objectType="Radio" lockText="1" noThreeD="1"/>
</file>

<file path=xl/ctrlProps/ctrlProp88.xml><?xml version="1.0" encoding="utf-8"?>
<formControlPr xmlns="http://schemas.microsoft.com/office/spreadsheetml/2009/9/main" objectType="Radio" lockText="1" noThreeD="1"/>
</file>

<file path=xl/ctrlProps/ctrlProp89.xml><?xml version="1.0" encoding="utf-8"?>
<formControlPr xmlns="http://schemas.microsoft.com/office/spreadsheetml/2009/9/main" objectType="Radio" firstButton="1" fmlaLink="$M$22" lockText="1" noThreeD="1"/>
</file>

<file path=xl/ctrlProps/ctrlProp90.xml><?xml version="1.0" encoding="utf-8"?>
<formControlPr xmlns="http://schemas.microsoft.com/office/spreadsheetml/2009/9/main" objectType="Radio" lockText="1" noThreeD="1"/>
</file>

<file path=xl/ctrlProps/ctrlProp91.xml><?xml version="1.0" encoding="utf-8"?>
<formControlPr xmlns="http://schemas.microsoft.com/office/spreadsheetml/2009/9/main" objectType="GBox" noThreeD="1"/>
</file>

<file path=xl/ctrlProps/ctrlProp92.xml><?xml version="1.0" encoding="utf-8"?>
<formControlPr xmlns="http://schemas.microsoft.com/office/spreadsheetml/2009/9/main" objectType="Radio" firstButton="1" fmlaLink="$M$23"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GBox" noThreeD="1"/>
</file>

<file path=xl/ctrlProps/ctrlProp95.xml><?xml version="1.0" encoding="utf-8"?>
<formControlPr xmlns="http://schemas.microsoft.com/office/spreadsheetml/2009/9/main" objectType="Radio" firstButton="1" fmlaLink="$M$24" lockText="1" noThreeD="1"/>
</file>

<file path=xl/ctrlProps/ctrlProp96.xml><?xml version="1.0" encoding="utf-8"?>
<formControlPr xmlns="http://schemas.microsoft.com/office/spreadsheetml/2009/9/main" objectType="Radio" lockText="1" noThreeD="1"/>
</file>

<file path=xl/ctrlProps/ctrlProp97.xml><?xml version="1.0" encoding="utf-8"?>
<formControlPr xmlns="http://schemas.microsoft.com/office/spreadsheetml/2009/9/main" objectType="GBox" noThreeD="1"/>
</file>

<file path=xl/ctrlProps/ctrlProp98.xml><?xml version="1.0" encoding="utf-8"?>
<formControlPr xmlns="http://schemas.microsoft.com/office/spreadsheetml/2009/9/main" objectType="GBox" noThreeD="1"/>
</file>

<file path=xl/ctrlProps/ctrlProp99.xml><?xml version="1.0" encoding="utf-8"?>
<formControlPr xmlns="http://schemas.microsoft.com/office/spreadsheetml/2009/9/main" objectType="Radio" firstButton="1" fmlaLink="$M$27" lockText="1" noThreeD="1"/>
</file>

<file path=xl/ctrlProps/ctrlProp100.xml><?xml version="1.0" encoding="utf-8"?>
<formControlPr xmlns="http://schemas.microsoft.com/office/spreadsheetml/2009/9/main" objectType="Radio" lockText="1" noThreeD="1"/>
</file>

<file path=xl/ctrlProps/ctrlProp101.xml><?xml version="1.0" encoding="utf-8"?>
<formControlPr xmlns="http://schemas.microsoft.com/office/spreadsheetml/2009/9/main" objectType="GBox" noThreeD="1"/>
</file>

<file path=xl/ctrlProps/ctrlProp102.xml><?xml version="1.0" encoding="utf-8"?>
<formControlPr xmlns="http://schemas.microsoft.com/office/spreadsheetml/2009/9/main" objectType="Radio" firstButton="1" fmlaLink="$M$28" lockText="1" noThreeD="1"/>
</file>

<file path=xl/ctrlProps/ctrlProp103.xml><?xml version="1.0" encoding="utf-8"?>
<formControlPr xmlns="http://schemas.microsoft.com/office/spreadsheetml/2009/9/main" objectType="Radio" lockText="1" noThreeD="1"/>
</file>

<file path=xl/ctrlProps/ctrlProp104.xml><?xml version="1.0" encoding="utf-8"?>
<formControlPr xmlns="http://schemas.microsoft.com/office/spreadsheetml/2009/9/main" objectType="Radio" lockText="1" noThreeD="1"/>
</file>

<file path=xl/ctrlProps/ctrlProp105.xml><?xml version="1.0" encoding="utf-8"?>
<formControlPr xmlns="http://schemas.microsoft.com/office/spreadsheetml/2009/9/main" objectType="GBox" noThreeD="1"/>
</file>

<file path=xl/ctrlProps/ctrlProp106.xml><?xml version="1.0" encoding="utf-8"?>
<formControlPr xmlns="http://schemas.microsoft.com/office/spreadsheetml/2009/9/main" objectType="Radio" firstButton="1" fmlaLink="$M$25"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CheckBox" fmlaLink="$M$31" lockText="1" noThreeD="1"/>
</file>

<file path=xl/ctrlProps/ctrlProp109.xml><?xml version="1.0" encoding="utf-8"?>
<formControlPr xmlns="http://schemas.microsoft.com/office/spreadsheetml/2009/9/main" objectType="CheckBox" fmlaLink="$M$32" lockText="1" noThreeD="1"/>
</file>

<file path=xl/ctrlProps/ctrlProp110.xml><?xml version="1.0" encoding="utf-8"?>
<formControlPr xmlns="http://schemas.microsoft.com/office/spreadsheetml/2009/9/main" objectType="CheckBox" fmlaLink="$M$33" lockText="1"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Radio" firstButton="1" fmlaLink="$M$26" lockText="1" noThreeD="1"/>
</file>

<file path=xl/ctrlProps/ctrlProp113.xml><?xml version="1.0" encoding="utf-8"?>
<formControlPr xmlns="http://schemas.microsoft.com/office/spreadsheetml/2009/9/main" objectType="Radio" lockText="1" noThreeD="1"/>
</file>

<file path=xl/ctrlProps/ctrlProp114.xml><?xml version="1.0" encoding="utf-8"?>
<formControlPr xmlns="http://schemas.microsoft.com/office/spreadsheetml/2009/9/main" objectType="GBox" noThreeD="1"/>
</file>

<file path=xl/ctrlProps/ctrlProp115.xml><?xml version="1.0" encoding="utf-8"?>
<formControlPr xmlns="http://schemas.microsoft.com/office/spreadsheetml/2009/9/main" objectType="Radio" firstButton="1" fmlaLink="$M$29" lockText="1" noThreeD="1"/>
</file>

<file path=xl/ctrlProps/ctrlProp116.xml><?xml version="1.0" encoding="utf-8"?>
<formControlPr xmlns="http://schemas.microsoft.com/office/spreadsheetml/2009/9/main" objectType="Radio" lockText="1" noThreeD="1"/>
</file>

<file path=xl/ctrlProps/ctrlProp117.xml><?xml version="1.0" encoding="utf-8"?>
<formControlPr xmlns="http://schemas.microsoft.com/office/spreadsheetml/2009/9/main" objectType="Radio" lockText="1" noThreeD="1"/>
</file>

<file path=xl/ctrlProps/ctrlProp118.xml><?xml version="1.0" encoding="utf-8"?>
<formControlPr xmlns="http://schemas.microsoft.com/office/spreadsheetml/2009/9/main" objectType="Radio" lockText="1" noThreeD="1"/>
</file>

<file path=xl/ctrlProps/ctrlProp119.xml><?xml version="1.0" encoding="utf-8"?>
<formControlPr xmlns="http://schemas.microsoft.com/office/spreadsheetml/2009/9/main" objectType="CheckBox" fmlaLink="$M$30" lockText="1" noThreeD="1"/>
</file>

<file path=xl/ctrlProps/ctrlProp120.xml><?xml version="1.0" encoding="utf-8"?>
<formControlPr xmlns="http://schemas.microsoft.com/office/spreadsheetml/2009/9/main" objectType="GBox" noThreeD="1"/>
</file>

<file path=xl/ctrlProps/ctrlProp121.xml><?xml version="1.0" encoding="utf-8"?>
<formControlPr xmlns="http://schemas.microsoft.com/office/spreadsheetml/2009/9/main" objectType="GBox" noThreeD="1"/>
</file>

<file path=xl/ctrlProps/ctrlProp122.xml><?xml version="1.0" encoding="utf-8"?>
<formControlPr xmlns="http://schemas.microsoft.com/office/spreadsheetml/2009/9/main" objectType="Button"/>
</file>

<file path=xl/ctrlProps/ctrlProp123.xml><?xml version="1.0" encoding="utf-8"?>
<formControlPr xmlns="http://schemas.microsoft.com/office/spreadsheetml/2009/9/main" objectType="Radio"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497841</xdr:colOff>
      <xdr:row>0</xdr:row>
      <xdr:rowOff>69215</xdr:rowOff>
    </xdr:from>
    <xdr:to>
      <xdr:col>5</xdr:col>
      <xdr:colOff>569596</xdr:colOff>
      <xdr:row>3</xdr:row>
      <xdr:rowOff>151842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41505"/>
        <a:stretch/>
      </xdr:blipFill>
      <xdr:spPr>
        <a:xfrm>
          <a:off x="2336166" y="69215"/>
          <a:ext cx="1595755" cy="71127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397189</xdr:colOff>
      <xdr:row>56</xdr:row>
      <xdr:rowOff>54295</xdr:rowOff>
    </xdr:from>
    <xdr:ext cx="567373" cy="233205"/>
    <xdr:sp macro="" textlink="">
      <xdr:nvSpPr>
        <xdr:cNvPr id="14" name="TextBox 81">
          <a:extLst>
            <a:ext uri="{FF2B5EF4-FFF2-40B4-BE49-F238E27FC236}">
              <a16:creationId xmlns:a16="http://schemas.microsoft.com/office/drawing/2014/main" id="{00000000-0008-0000-0100-00000E000000}"/>
            </a:ext>
          </a:extLst>
        </xdr:cNvPr>
        <xdr:cNvSpPr txBox="1"/>
      </xdr:nvSpPr>
      <xdr:spPr>
        <a:xfrm>
          <a:off x="2230752" y="10849295"/>
          <a:ext cx="567373"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r>
            <a:rPr lang="cs-CZ" sz="900">
              <a:solidFill>
                <a:sysClr val="windowText" lastClr="000000"/>
              </a:solidFill>
            </a:rPr>
            <a:t>AUDIO</a:t>
          </a:r>
          <a:endParaRPr lang="en-US" sz="800">
            <a:solidFill>
              <a:sysClr val="windowText" lastClr="000000"/>
            </a:solidFill>
            <a:latin typeface="+mn-lt"/>
            <a:ea typeface="+mn-ea"/>
            <a:cs typeface="+mn-cs"/>
          </a:endParaRPr>
        </a:p>
      </xdr:txBody>
    </xdr:sp>
    <xdr:clientData/>
  </xdr:oneCellAnchor>
  <xdr:oneCellAnchor>
    <xdr:from>
      <xdr:col>3</xdr:col>
      <xdr:colOff>397189</xdr:colOff>
      <xdr:row>54</xdr:row>
      <xdr:rowOff>148909</xdr:rowOff>
    </xdr:from>
    <xdr:ext cx="567373" cy="233205"/>
    <xdr:sp macro="" textlink="">
      <xdr:nvSpPr>
        <xdr:cNvPr id="12" name="TextBox 82">
          <a:extLst>
            <a:ext uri="{FF2B5EF4-FFF2-40B4-BE49-F238E27FC236}">
              <a16:creationId xmlns:a16="http://schemas.microsoft.com/office/drawing/2014/main" id="{00000000-0008-0000-0100-00000C000000}"/>
            </a:ext>
          </a:extLst>
        </xdr:cNvPr>
        <xdr:cNvSpPr txBox="1"/>
      </xdr:nvSpPr>
      <xdr:spPr>
        <a:xfrm>
          <a:off x="2230752" y="10642284"/>
          <a:ext cx="567373"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r>
            <a:rPr lang="cs-CZ" sz="900">
              <a:solidFill>
                <a:sysClr val="windowText" lastClr="000000"/>
              </a:solidFill>
            </a:rPr>
            <a:t>USB</a:t>
          </a:r>
          <a:endParaRPr lang="en-US" sz="800">
            <a:solidFill>
              <a:sysClr val="windowText" lastClr="000000"/>
            </a:solidFill>
            <a:latin typeface="+mn-lt"/>
            <a:ea typeface="+mn-ea"/>
            <a:cs typeface="+mn-cs"/>
          </a:endParaRPr>
        </a:p>
      </xdr:txBody>
    </xdr:sp>
    <xdr:clientData/>
  </xdr:oneCellAnchor>
  <xdr:oneCellAnchor>
    <xdr:from>
      <xdr:col>3</xdr:col>
      <xdr:colOff>475930</xdr:colOff>
      <xdr:row>53</xdr:row>
      <xdr:rowOff>271464</xdr:rowOff>
    </xdr:from>
    <xdr:ext cx="484822" cy="233205"/>
    <xdr:sp macro="" textlink="">
      <xdr:nvSpPr>
        <xdr:cNvPr id="13" name="TextBox 83">
          <a:extLst>
            <a:ext uri="{FF2B5EF4-FFF2-40B4-BE49-F238E27FC236}">
              <a16:creationId xmlns:a16="http://schemas.microsoft.com/office/drawing/2014/main" id="{00000000-0008-0000-0100-00000D000000}"/>
            </a:ext>
          </a:extLst>
        </xdr:cNvPr>
        <xdr:cNvSpPr txBox="1"/>
      </xdr:nvSpPr>
      <xdr:spPr>
        <a:xfrm>
          <a:off x="2309493" y="10447339"/>
          <a:ext cx="4848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r>
            <a:rPr lang="cs-CZ" sz="900">
              <a:solidFill>
                <a:sysClr val="windowText" lastClr="000000"/>
              </a:solidFill>
            </a:rPr>
            <a:t>HDMI</a:t>
          </a:r>
          <a:endParaRPr lang="en-US" sz="800">
            <a:solidFill>
              <a:sysClr val="windowText" lastClr="000000"/>
            </a:solidFill>
            <a:latin typeface="+mn-lt"/>
            <a:ea typeface="+mn-ea"/>
            <a:cs typeface="+mn-cs"/>
          </a:endParaRPr>
        </a:p>
      </xdr:txBody>
    </xdr:sp>
    <xdr:clientData/>
  </xdr:oneCellAnchor>
  <xdr:twoCellAnchor>
    <xdr:from>
      <xdr:col>1</xdr:col>
      <xdr:colOff>507289</xdr:colOff>
      <xdr:row>4</xdr:row>
      <xdr:rowOff>174599</xdr:rowOff>
    </xdr:from>
    <xdr:to>
      <xdr:col>7</xdr:col>
      <xdr:colOff>260348</xdr:colOff>
      <xdr:row>9</xdr:row>
      <xdr:rowOff>97543</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16889" y="955649"/>
          <a:ext cx="3397959" cy="843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800">
              <a:solidFill>
                <a:schemeClr val="tx1">
                  <a:lumMod val="50000"/>
                  <a:lumOff val="50000"/>
                </a:schemeClr>
              </a:solidFill>
            </a:rPr>
            <a:t>Klasický modul, okolní moduly </a:t>
          </a:r>
          <a:r>
            <a:rPr lang="en-US" sz="800" b="1">
              <a:solidFill>
                <a:schemeClr val="tx1">
                  <a:lumMod val="50000"/>
                  <a:lumOff val="50000"/>
                </a:schemeClr>
              </a:solidFill>
            </a:rPr>
            <a:t>mohou</a:t>
          </a:r>
          <a:r>
            <a:rPr lang="en-US" sz="800" b="1" baseline="0">
              <a:solidFill>
                <a:schemeClr val="tx1">
                  <a:lumMod val="50000"/>
                  <a:lumOff val="50000"/>
                </a:schemeClr>
              </a:solidFill>
            </a:rPr>
            <a:t> b</a:t>
          </a:r>
          <a:r>
            <a:rPr lang="cs-CZ" sz="800" b="1" baseline="0">
              <a:solidFill>
                <a:schemeClr val="tx1">
                  <a:lumMod val="50000"/>
                  <a:lumOff val="50000"/>
                </a:schemeClr>
              </a:solidFill>
            </a:rPr>
            <a:t>ýt i všechny skleněné</a:t>
          </a:r>
          <a:r>
            <a:rPr lang="cs-CZ" sz="800" b="0" baseline="0">
              <a:solidFill>
                <a:schemeClr val="tx1">
                  <a:lumMod val="50000"/>
                  <a:lumOff val="50000"/>
                </a:schemeClr>
              </a:solidFill>
            </a:rPr>
            <a:t> - v tomto případě</a:t>
          </a:r>
          <a:r>
            <a:rPr lang="en-US" sz="800">
              <a:solidFill>
                <a:schemeClr val="tx1">
                  <a:lumMod val="50000"/>
                  <a:lumOff val="50000"/>
                </a:schemeClr>
              </a:solidFill>
            </a:rPr>
            <a:t> přístup ke komponentům po odšroubování zadní desky za displejem. </a:t>
          </a:r>
          <a:r>
            <a:rPr lang="cs-CZ" sz="800">
              <a:solidFill>
                <a:schemeClr val="tx1">
                  <a:lumMod val="50000"/>
                  <a:lumOff val="50000"/>
                </a:schemeClr>
              </a:solidFill>
            </a:rPr>
            <a:t>Kabely jsou vedeny rámem, ve kterém musí </a:t>
          </a:r>
          <a:r>
            <a:rPr lang="en-US" sz="800">
              <a:solidFill>
                <a:schemeClr val="tx1">
                  <a:lumMod val="50000"/>
                  <a:lumOff val="50000"/>
                </a:schemeClr>
              </a:solidFill>
            </a:rPr>
            <a:t>být vyfrézovan</a:t>
          </a:r>
          <a:r>
            <a:rPr lang="cs-CZ" sz="800">
              <a:solidFill>
                <a:schemeClr val="tx1">
                  <a:lumMod val="50000"/>
                  <a:lumOff val="50000"/>
                </a:schemeClr>
              </a:solidFill>
            </a:rPr>
            <a:t>é</a:t>
          </a:r>
          <a:r>
            <a:rPr lang="en-US" sz="800">
              <a:solidFill>
                <a:schemeClr val="tx1">
                  <a:lumMod val="50000"/>
                  <a:lumOff val="50000"/>
                </a:schemeClr>
              </a:solidFill>
            </a:rPr>
            <a:t> otvor</a:t>
          </a:r>
          <a:r>
            <a:rPr lang="cs-CZ" sz="800">
              <a:solidFill>
                <a:schemeClr val="tx1">
                  <a:lumMod val="50000"/>
                  <a:lumOff val="50000"/>
                </a:schemeClr>
              </a:solidFill>
            </a:rPr>
            <a:t>y</a:t>
          </a:r>
          <a:r>
            <a:rPr lang="en-US" sz="800">
              <a:solidFill>
                <a:schemeClr val="tx1">
                  <a:lumMod val="50000"/>
                  <a:lumOff val="50000"/>
                </a:schemeClr>
              </a:solidFill>
            </a:rPr>
            <a:t> pro přívod napájení 220V (z boku, ze stropu, z podlahy)</a:t>
          </a:r>
          <a:r>
            <a:rPr lang="cs-CZ" sz="800">
              <a:solidFill>
                <a:schemeClr val="tx1">
                  <a:lumMod val="50000"/>
                  <a:lumOff val="50000"/>
                </a:schemeClr>
              </a:solidFill>
            </a:rPr>
            <a:t>. </a:t>
          </a:r>
          <a:r>
            <a:rPr lang="en-US" sz="800">
              <a:solidFill>
                <a:schemeClr val="tx1">
                  <a:lumMod val="50000"/>
                  <a:lumOff val="50000"/>
                </a:schemeClr>
              </a:solidFill>
            </a:rPr>
            <a:t>Standardní rozměr pro 75" je 2050 x 1165</a:t>
          </a:r>
          <a:r>
            <a:rPr lang="cs-CZ" sz="800">
              <a:solidFill>
                <a:schemeClr val="tx1">
                  <a:lumMod val="50000"/>
                  <a:lumOff val="50000"/>
                </a:schemeClr>
              </a:solidFill>
            </a:rPr>
            <a:t> mm</a:t>
          </a:r>
          <a:r>
            <a:rPr lang="en-US" sz="800">
              <a:solidFill>
                <a:schemeClr val="tx1">
                  <a:lumMod val="50000"/>
                  <a:lumOff val="50000"/>
                </a:schemeClr>
              </a:solidFill>
            </a:rPr>
            <a:t>, možno rozšířít podle uvážení, jiné rozměry displej</a:t>
          </a:r>
          <a:r>
            <a:rPr lang="cs-CZ" sz="800">
              <a:solidFill>
                <a:schemeClr val="tx1">
                  <a:lumMod val="50000"/>
                  <a:lumOff val="50000"/>
                </a:schemeClr>
              </a:solidFill>
            </a:rPr>
            <a:t>ů</a:t>
          </a:r>
          <a:r>
            <a:rPr lang="en-US" sz="800">
              <a:solidFill>
                <a:schemeClr val="tx1">
                  <a:lumMod val="50000"/>
                  <a:lumOff val="50000"/>
                </a:schemeClr>
              </a:solidFill>
            </a:rPr>
            <a:t> </a:t>
          </a:r>
          <a:r>
            <a:rPr lang="cs-CZ" sz="800">
              <a:solidFill>
                <a:schemeClr val="tx1">
                  <a:lumMod val="50000"/>
                  <a:lumOff val="50000"/>
                </a:schemeClr>
              </a:solidFill>
            </a:rPr>
            <a:t>upřesní </a:t>
          </a:r>
          <a:r>
            <a:rPr lang="en-US" sz="800">
              <a:solidFill>
                <a:schemeClr val="tx1">
                  <a:lumMod val="50000"/>
                  <a:lumOff val="50000"/>
                </a:schemeClr>
              </a:solidFill>
            </a:rPr>
            <a:t>vývoj</a:t>
          </a:r>
          <a:r>
            <a:rPr lang="cs-CZ" sz="800">
              <a:solidFill>
                <a:schemeClr val="tx1">
                  <a:lumMod val="50000"/>
                  <a:lumOff val="50000"/>
                </a:schemeClr>
              </a:solidFill>
            </a:rPr>
            <a:t>.</a:t>
          </a:r>
          <a:r>
            <a:rPr lang="cs-CZ" sz="800" baseline="0">
              <a:solidFill>
                <a:schemeClr val="tx1">
                  <a:lumMod val="50000"/>
                  <a:lumOff val="50000"/>
                </a:schemeClr>
              </a:solidFill>
            </a:rPr>
            <a:t> </a:t>
          </a:r>
          <a:endParaRPr lang="en-US" sz="800">
            <a:solidFill>
              <a:schemeClr val="tx1">
                <a:lumMod val="50000"/>
                <a:lumOff val="50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373380</xdr:colOff>
          <xdr:row>4</xdr:row>
          <xdr:rowOff>7620</xdr:rowOff>
        </xdr:from>
        <xdr:to>
          <xdr:col>3</xdr:col>
          <xdr:colOff>68580</xdr:colOff>
          <xdr:row>5</xdr:row>
          <xdr:rowOff>38100</xdr:rowOff>
        </xdr:to>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OMEGA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365760</xdr:colOff>
          <xdr:row>10</xdr:row>
          <xdr:rowOff>7620</xdr:rowOff>
        </xdr:from>
        <xdr:to>
          <xdr:col>3</xdr:col>
          <xdr:colOff>53340</xdr:colOff>
          <xdr:row>11</xdr:row>
          <xdr:rowOff>0</xdr:rowOff>
        </xdr:to>
        <xdr:sp macro="" textlink="">
          <xdr:nvSpPr>
            <xdr:cNvPr id="3076" name="Option 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RAVA</a:t>
              </a:r>
            </a:p>
          </xdr:txBody>
        </xdr:sp>
        <xdr:clientData/>
      </xdr:twoCellAnchor>
    </mc:Choice>
    <mc:Fallback/>
  </mc:AlternateContent>
  <xdr:twoCellAnchor>
    <xdr:from>
      <xdr:col>1</xdr:col>
      <xdr:colOff>497577</xdr:colOff>
      <xdr:row>10</xdr:row>
      <xdr:rowOff>162350</xdr:rowOff>
    </xdr:from>
    <xdr:to>
      <xdr:col>7</xdr:col>
      <xdr:colOff>246697</xdr:colOff>
      <xdr:row>14</xdr:row>
      <xdr:rowOff>160969</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08765" y="2035600"/>
          <a:ext cx="3400370" cy="7288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800">
              <a:solidFill>
                <a:schemeClr val="tx1">
                  <a:lumMod val="50000"/>
                  <a:lumOff val="50000"/>
                </a:schemeClr>
              </a:solidFill>
            </a:rPr>
            <a:t>Přístup ke komponentům </a:t>
          </a:r>
          <a:r>
            <a:rPr lang="cs-CZ" sz="800" b="1">
              <a:solidFill>
                <a:schemeClr val="tx1">
                  <a:lumMod val="50000"/>
                  <a:lumOff val="50000"/>
                </a:schemeClr>
              </a:solidFill>
            </a:rPr>
            <a:t>přes </a:t>
          </a:r>
          <a:r>
            <a:rPr lang="en-US" sz="800" b="1">
              <a:solidFill>
                <a:schemeClr val="tx1">
                  <a:lumMod val="50000"/>
                  <a:lumOff val="50000"/>
                </a:schemeClr>
              </a:solidFill>
            </a:rPr>
            <a:t>vyklápěcí modul</a:t>
          </a:r>
          <a:r>
            <a:rPr lang="cs-CZ" sz="800" b="1">
              <a:solidFill>
                <a:schemeClr val="tx1">
                  <a:lumMod val="50000"/>
                  <a:lumOff val="50000"/>
                </a:schemeClr>
              </a:solidFill>
            </a:rPr>
            <a:t>,</a:t>
          </a:r>
          <a:r>
            <a:rPr lang="cs-CZ" sz="800" b="1" baseline="0">
              <a:solidFill>
                <a:schemeClr val="tx1">
                  <a:lumMod val="50000"/>
                  <a:lumOff val="50000"/>
                </a:schemeClr>
              </a:solidFill>
            </a:rPr>
            <a:t> který může být </a:t>
          </a:r>
          <a:r>
            <a:rPr lang="cs-CZ" sz="800" b="0">
              <a:solidFill>
                <a:schemeClr val="tx1">
                  <a:lumMod val="50000"/>
                  <a:lumOff val="50000"/>
                </a:schemeClr>
              </a:solidFill>
            </a:rPr>
            <a:t>ze zadní strany obrazovky nebo ze zadní nebo přední strany</a:t>
          </a:r>
          <a:r>
            <a:rPr lang="cs-CZ" sz="800" b="0" baseline="0">
              <a:solidFill>
                <a:schemeClr val="tx1">
                  <a:lumMod val="50000"/>
                  <a:lumOff val="50000"/>
                </a:schemeClr>
              </a:solidFill>
            </a:rPr>
            <a:t> </a:t>
          </a:r>
          <a:r>
            <a:rPr lang="en-US" sz="800" b="0">
              <a:solidFill>
                <a:schemeClr val="tx1">
                  <a:lumMod val="50000"/>
                  <a:lumOff val="50000"/>
                </a:schemeClr>
              </a:solidFill>
            </a:rPr>
            <a:t>pod obrazovkou</a:t>
          </a:r>
          <a:r>
            <a:rPr lang="en-US" sz="800">
              <a:solidFill>
                <a:schemeClr val="tx1">
                  <a:lumMod val="50000"/>
                  <a:lumOff val="50000"/>
                </a:schemeClr>
              </a:solidFill>
            </a:rPr>
            <a:t>. </a:t>
          </a:r>
          <a:r>
            <a:rPr lang="cs-CZ" sz="800">
              <a:solidFill>
                <a:schemeClr val="tx1">
                  <a:lumMod val="50000"/>
                  <a:lumOff val="50000"/>
                </a:schemeClr>
              </a:solidFill>
            </a:rPr>
            <a:t>Vyklápěcí </a:t>
          </a:r>
          <a:r>
            <a:rPr lang="en-US" sz="800">
              <a:solidFill>
                <a:schemeClr val="tx1">
                  <a:lumMod val="50000"/>
                  <a:lumOff val="50000"/>
                </a:schemeClr>
              </a:solidFill>
            </a:rPr>
            <a:t>modul musí být neprůhledný (může být i potisknuté sklo), ale musí v něm být vyfrézovaný otvor pro přívod napájení 220V (z boku</a:t>
          </a:r>
          <a:r>
            <a:rPr lang="cs-CZ" sz="800">
              <a:solidFill>
                <a:schemeClr val="tx1">
                  <a:lumMod val="50000"/>
                  <a:lumOff val="50000"/>
                </a:schemeClr>
              </a:solidFill>
            </a:rPr>
            <a:t>, ze stropu,</a:t>
          </a:r>
          <a:r>
            <a:rPr lang="cs-CZ" sz="800" baseline="0">
              <a:solidFill>
                <a:schemeClr val="tx1">
                  <a:lumMod val="50000"/>
                  <a:lumOff val="50000"/>
                </a:schemeClr>
              </a:solidFill>
            </a:rPr>
            <a:t> nebo </a:t>
          </a:r>
          <a:r>
            <a:rPr lang="en-US" sz="800">
              <a:solidFill>
                <a:schemeClr val="tx1">
                  <a:lumMod val="50000"/>
                  <a:lumOff val="50000"/>
                </a:schemeClr>
              </a:solidFill>
            </a:rPr>
            <a:t>z podlahy)</a:t>
          </a:r>
        </a:p>
      </xdr:txBody>
    </xdr:sp>
    <xdr:clientData/>
  </xdr:twoCellAnchor>
  <mc:AlternateContent xmlns:mc="http://schemas.openxmlformats.org/markup-compatibility/2006">
    <mc:Choice xmlns:a14="http://schemas.microsoft.com/office/drawing/2010/main" Requires="a14">
      <xdr:twoCellAnchor editAs="oneCell">
        <xdr:from>
          <xdr:col>1</xdr:col>
          <xdr:colOff>381000</xdr:colOff>
          <xdr:row>15</xdr:row>
          <xdr:rowOff>7620</xdr:rowOff>
        </xdr:from>
        <xdr:to>
          <xdr:col>3</xdr:col>
          <xdr:colOff>83820</xdr:colOff>
          <xdr:row>16</xdr:row>
          <xdr:rowOff>22860</xdr:rowOff>
        </xdr:to>
        <xdr:sp macro="" textlink="">
          <xdr:nvSpPr>
            <xdr:cNvPr id="3078" name="Option 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MICRA II / RAVA</a:t>
              </a:r>
            </a:p>
          </xdr:txBody>
        </xdr:sp>
        <xdr:clientData/>
      </xdr:twoCellAnchor>
    </mc:Choice>
    <mc:Fallback/>
  </mc:AlternateContent>
  <xdr:twoCellAnchor>
    <xdr:from>
      <xdr:col>1</xdr:col>
      <xdr:colOff>507276</xdr:colOff>
      <xdr:row>16</xdr:row>
      <xdr:rowOff>16614</xdr:rowOff>
    </xdr:from>
    <xdr:to>
      <xdr:col>7</xdr:col>
      <xdr:colOff>306917</xdr:colOff>
      <xdr:row>19</xdr:row>
      <xdr:rowOff>111126</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1118464" y="2985239"/>
          <a:ext cx="3450891" cy="642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800">
              <a:solidFill>
                <a:schemeClr val="tx1">
                  <a:lumMod val="50000"/>
                  <a:lumOff val="50000"/>
                </a:schemeClr>
              </a:solidFill>
            </a:rPr>
            <a:t>Přístup ke komponentům </a:t>
          </a:r>
          <a:r>
            <a:rPr lang="cs-CZ" sz="800" b="1">
              <a:solidFill>
                <a:schemeClr val="tx1">
                  <a:lumMod val="50000"/>
                  <a:lumOff val="50000"/>
                </a:schemeClr>
              </a:solidFill>
            </a:rPr>
            <a:t>ze</a:t>
          </a:r>
          <a:r>
            <a:rPr lang="cs-CZ" sz="800" b="1" baseline="0">
              <a:solidFill>
                <a:schemeClr val="tx1">
                  <a:lumMod val="50000"/>
                  <a:lumOff val="50000"/>
                </a:schemeClr>
              </a:solidFill>
            </a:rPr>
            <a:t> zadní strany přes</a:t>
          </a:r>
          <a:r>
            <a:rPr lang="en-US" sz="800" b="1">
              <a:solidFill>
                <a:schemeClr val="tx1">
                  <a:lumMod val="50000"/>
                  <a:lumOff val="50000"/>
                </a:schemeClr>
              </a:solidFill>
            </a:rPr>
            <a:t> vyklápěcí modul</a:t>
          </a:r>
          <a:r>
            <a:rPr lang="cs-CZ" sz="800" b="1" baseline="0">
              <a:solidFill>
                <a:schemeClr val="tx1">
                  <a:lumMod val="50000"/>
                  <a:lumOff val="50000"/>
                </a:schemeClr>
              </a:solidFill>
            </a:rPr>
            <a:t> za obrazovkou nebo pod ní</a:t>
          </a:r>
          <a:r>
            <a:rPr lang="en-US" sz="800">
              <a:solidFill>
                <a:schemeClr val="tx1">
                  <a:lumMod val="50000"/>
                  <a:lumOff val="50000"/>
                </a:schemeClr>
              </a:solidFill>
            </a:rPr>
            <a:t>. Jeden z přilehlých modulů musí být neprůhledný (může být i potisknuté sklo),</a:t>
          </a:r>
          <a:r>
            <a:rPr lang="cs-CZ" sz="800">
              <a:solidFill>
                <a:schemeClr val="tx1">
                  <a:lumMod val="50000"/>
                  <a:lumOff val="50000"/>
                </a:schemeClr>
              </a:solidFill>
            </a:rPr>
            <a:t> pro vedení kabelů a/nebo schování komponentů. M</a:t>
          </a:r>
          <a:r>
            <a:rPr lang="en-US" sz="800">
              <a:solidFill>
                <a:schemeClr val="tx1">
                  <a:lumMod val="50000"/>
                  <a:lumOff val="50000"/>
                </a:schemeClr>
              </a:solidFill>
            </a:rPr>
            <a:t>usí v něm být vyfrézovaný otvor pro přívod napájení 220V (z boku, ze stropu, z podlahy)</a:t>
          </a:r>
        </a:p>
      </xdr:txBody>
    </xdr:sp>
    <xdr:clientData/>
  </xdr:twoCellAnchor>
  <mc:AlternateContent xmlns:mc="http://schemas.openxmlformats.org/markup-compatibility/2006">
    <mc:Choice xmlns:a14="http://schemas.microsoft.com/office/drawing/2010/main" Requires="a14">
      <xdr:twoCellAnchor editAs="oneCell">
        <xdr:from>
          <xdr:col>1</xdr:col>
          <xdr:colOff>175260</xdr:colOff>
          <xdr:row>3</xdr:row>
          <xdr:rowOff>60960</xdr:rowOff>
        </xdr:from>
        <xdr:to>
          <xdr:col>3</xdr:col>
          <xdr:colOff>487680</xdr:colOff>
          <xdr:row>19</xdr:row>
          <xdr:rowOff>30480</xdr:rowOff>
        </xdr:to>
        <xdr:sp macro="" textlink="">
          <xdr:nvSpPr>
            <xdr:cNvPr id="3080" name="Group Box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60960</xdr:colOff>
          <xdr:row>5</xdr:row>
          <xdr:rowOff>22860</xdr:rowOff>
        </xdr:from>
        <xdr:to>
          <xdr:col>9</xdr:col>
          <xdr:colOff>137160</xdr:colOff>
          <xdr:row>6</xdr:row>
          <xdr:rowOff>53340</xdr:rowOff>
        </xdr:to>
        <xdr:sp macro="" textlink="">
          <xdr:nvSpPr>
            <xdr:cNvPr id="3079" name="Option 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Elox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60960</xdr:colOff>
          <xdr:row>6</xdr:row>
          <xdr:rowOff>91440</xdr:rowOff>
        </xdr:from>
        <xdr:to>
          <xdr:col>9</xdr:col>
          <xdr:colOff>182880</xdr:colOff>
          <xdr:row>7</xdr:row>
          <xdr:rowOff>121920</xdr:rowOff>
        </xdr:to>
        <xdr:sp macro="" textlink="">
          <xdr:nvSpPr>
            <xdr:cNvPr id="3081" name="Option Button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RAL 9005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60960</xdr:colOff>
          <xdr:row>7</xdr:row>
          <xdr:rowOff>160020</xdr:rowOff>
        </xdr:from>
        <xdr:to>
          <xdr:col>9</xdr:col>
          <xdr:colOff>175260</xdr:colOff>
          <xdr:row>9</xdr:row>
          <xdr:rowOff>15240</xdr:rowOff>
        </xdr:to>
        <xdr:sp macro="" textlink="">
          <xdr:nvSpPr>
            <xdr:cNvPr id="3082" name="Option Button 10" descr="Jiná"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Jiná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3</xdr:row>
          <xdr:rowOff>76200</xdr:rowOff>
        </xdr:from>
        <xdr:to>
          <xdr:col>9</xdr:col>
          <xdr:colOff>487680</xdr:colOff>
          <xdr:row>9</xdr:row>
          <xdr:rowOff>121920</xdr:rowOff>
        </xdr:to>
        <xdr:sp macro="" textlink="">
          <xdr:nvSpPr>
            <xdr:cNvPr id="3083" name="Group Box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548640</xdr:colOff>
          <xdr:row>22</xdr:row>
          <xdr:rowOff>160020</xdr:rowOff>
        </xdr:from>
        <xdr:to>
          <xdr:col>8</xdr:col>
          <xdr:colOff>220980</xdr:colOff>
          <xdr:row>24</xdr:row>
          <xdr:rowOff>7620</xdr:rowOff>
        </xdr:to>
        <xdr:sp macro="" textlink="">
          <xdr:nvSpPr>
            <xdr:cNvPr id="3084" name="Option Button 12" hidden="1">
              <a:extLst>
                <a:ext uri="{63B3BB69-23CF-44E3-9099-C40C66FF867C}">
                  <a14:compatExt spid="_x0000_s3084"/>
                </a:ext>
                <a:ext uri="{FF2B5EF4-FFF2-40B4-BE49-F238E27FC236}">
                  <a16:creationId xmlns:a16="http://schemas.microsoft.com/office/drawing/2014/main" id="{00000000-0008-0000-0100-00000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43"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548640</xdr:colOff>
          <xdr:row>24</xdr:row>
          <xdr:rowOff>68580</xdr:rowOff>
        </xdr:from>
        <xdr:to>
          <xdr:col>8</xdr:col>
          <xdr:colOff>220980</xdr:colOff>
          <xdr:row>25</xdr:row>
          <xdr:rowOff>106680</xdr:rowOff>
        </xdr:to>
        <xdr:sp macro="" textlink="">
          <xdr:nvSpPr>
            <xdr:cNvPr id="3085" name="Option Button 13" hidden="1">
              <a:extLst>
                <a:ext uri="{63B3BB69-23CF-44E3-9099-C40C66FF867C}">
                  <a14:compatExt spid="_x0000_s3085"/>
                </a:ext>
                <a:ext uri="{FF2B5EF4-FFF2-40B4-BE49-F238E27FC236}">
                  <a16:creationId xmlns:a16="http://schemas.microsoft.com/office/drawing/2014/main" id="{00000000-0008-0000-01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49"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548640</xdr:colOff>
          <xdr:row>25</xdr:row>
          <xdr:rowOff>175260</xdr:rowOff>
        </xdr:from>
        <xdr:to>
          <xdr:col>8</xdr:col>
          <xdr:colOff>220980</xdr:colOff>
          <xdr:row>27</xdr:row>
          <xdr:rowOff>22860</xdr:rowOff>
        </xdr:to>
        <xdr:sp macro="" textlink="">
          <xdr:nvSpPr>
            <xdr:cNvPr id="3086" name="Option Button 14" hidden="1">
              <a:extLst>
                <a:ext uri="{63B3BB69-23CF-44E3-9099-C40C66FF867C}">
                  <a14:compatExt spid="_x0000_s3086"/>
                </a:ext>
                <a:ext uri="{FF2B5EF4-FFF2-40B4-BE49-F238E27FC236}">
                  <a16:creationId xmlns:a16="http://schemas.microsoft.com/office/drawing/2014/main" id="{00000000-0008-0000-01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55"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548640</xdr:colOff>
          <xdr:row>27</xdr:row>
          <xdr:rowOff>83820</xdr:rowOff>
        </xdr:from>
        <xdr:to>
          <xdr:col>8</xdr:col>
          <xdr:colOff>220980</xdr:colOff>
          <xdr:row>28</xdr:row>
          <xdr:rowOff>114300</xdr:rowOff>
        </xdr:to>
        <xdr:sp macro="" textlink="">
          <xdr:nvSpPr>
            <xdr:cNvPr id="3087" name="Option Button 15" hidden="1">
              <a:extLst>
                <a:ext uri="{63B3BB69-23CF-44E3-9099-C40C66FF867C}">
                  <a14:compatExt spid="_x0000_s3087"/>
                </a:ext>
                <a:ext uri="{FF2B5EF4-FFF2-40B4-BE49-F238E27FC236}">
                  <a16:creationId xmlns:a16="http://schemas.microsoft.com/office/drawing/2014/main" id="{00000000-0008-0000-01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65"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441960</xdr:colOff>
          <xdr:row>22</xdr:row>
          <xdr:rowOff>175260</xdr:rowOff>
        </xdr:from>
        <xdr:to>
          <xdr:col>10</xdr:col>
          <xdr:colOff>198120</xdr:colOff>
          <xdr:row>24</xdr:row>
          <xdr:rowOff>22860</xdr:rowOff>
        </xdr:to>
        <xdr:sp macro="" textlink="">
          <xdr:nvSpPr>
            <xdr:cNvPr id="3088" name="Option Button 16"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75" [standard]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441960</xdr:colOff>
          <xdr:row>24</xdr:row>
          <xdr:rowOff>83820</xdr:rowOff>
        </xdr:from>
        <xdr:to>
          <xdr:col>10</xdr:col>
          <xdr:colOff>198120</xdr:colOff>
          <xdr:row>25</xdr:row>
          <xdr:rowOff>121920</xdr:rowOff>
        </xdr:to>
        <xdr:sp macro="" textlink="">
          <xdr:nvSpPr>
            <xdr:cNvPr id="3089" name="Option Button 17" hidden="1">
              <a:extLst>
                <a:ext uri="{63B3BB69-23CF-44E3-9099-C40C66FF867C}">
                  <a14:compatExt spid="_x0000_s3089"/>
                </a:ext>
                <a:ext uri="{FF2B5EF4-FFF2-40B4-BE49-F238E27FC236}">
                  <a16:creationId xmlns:a16="http://schemas.microsoft.com/office/drawing/2014/main" id="{00000000-0008-0000-0100-00001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82"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441960</xdr:colOff>
          <xdr:row>26</xdr:row>
          <xdr:rowOff>7620</xdr:rowOff>
        </xdr:from>
        <xdr:to>
          <xdr:col>10</xdr:col>
          <xdr:colOff>198120</xdr:colOff>
          <xdr:row>27</xdr:row>
          <xdr:rowOff>38100</xdr:rowOff>
        </xdr:to>
        <xdr:sp macro="" textlink="">
          <xdr:nvSpPr>
            <xdr:cNvPr id="3090" name="Option Button 18" hidden="1">
              <a:extLst>
                <a:ext uri="{63B3BB69-23CF-44E3-9099-C40C66FF867C}">
                  <a14:compatExt spid="_x0000_s3090"/>
                </a:ext>
                <a:ext uri="{FF2B5EF4-FFF2-40B4-BE49-F238E27FC236}">
                  <a16:creationId xmlns:a16="http://schemas.microsoft.com/office/drawing/2014/main" id="{00000000-0008-0000-0100-00001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85"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411480</xdr:colOff>
          <xdr:row>22</xdr:row>
          <xdr:rowOff>129540</xdr:rowOff>
        </xdr:from>
        <xdr:to>
          <xdr:col>3</xdr:col>
          <xdr:colOff>381000</xdr:colOff>
          <xdr:row>23</xdr:row>
          <xdr:rowOff>160020</xdr:rowOff>
        </xdr:to>
        <xdr:sp macro="" textlink="">
          <xdr:nvSpPr>
            <xdr:cNvPr id="3091" name="Option Button 19" hidden="1">
              <a:extLst>
                <a:ext uri="{63B3BB69-23CF-44E3-9099-C40C66FF867C}">
                  <a14:compatExt spid="_x0000_s3091"/>
                </a:ext>
                <a:ext uri="{FF2B5EF4-FFF2-40B4-BE49-F238E27FC236}">
                  <a16:creationId xmlns:a16="http://schemas.microsoft.com/office/drawing/2014/main" id="{00000000-0008-0000-0100-00001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350 nitů [standard]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403860</xdr:colOff>
          <xdr:row>25</xdr:row>
          <xdr:rowOff>182880</xdr:rowOff>
        </xdr:from>
        <xdr:to>
          <xdr:col>3</xdr:col>
          <xdr:colOff>160020</xdr:colOff>
          <xdr:row>27</xdr:row>
          <xdr:rowOff>30480</xdr:rowOff>
        </xdr:to>
        <xdr:sp macro="" textlink="">
          <xdr:nvSpPr>
            <xdr:cNvPr id="3092" name="Option Button 20" hidden="1">
              <a:extLst>
                <a:ext uri="{63B3BB69-23CF-44E3-9099-C40C66FF867C}">
                  <a14:compatExt spid="_x0000_s3092"/>
                </a:ext>
                <a:ext uri="{FF2B5EF4-FFF2-40B4-BE49-F238E27FC236}">
                  <a16:creationId xmlns:a16="http://schemas.microsoft.com/office/drawing/2014/main" id="{00000000-0008-0000-0100-00001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500 nitů</a:t>
              </a:r>
            </a:p>
          </xdr:txBody>
        </xdr:sp>
        <xdr:clientData/>
      </xdr:twoCellAnchor>
    </mc:Choice>
    <mc:Fallback/>
  </mc:AlternateContent>
  <xdr:oneCellAnchor>
    <xdr:from>
      <xdr:col>1</xdr:col>
      <xdr:colOff>543560</xdr:colOff>
      <xdr:row>23</xdr:row>
      <xdr:rowOff>130810</xdr:rowOff>
    </xdr:from>
    <xdr:ext cx="1657349" cy="345440"/>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1154748" y="4424998"/>
          <a:ext cx="1657349" cy="345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Normální</a:t>
          </a:r>
          <a:r>
            <a:rPr lang="cs-CZ" sz="800" baseline="0">
              <a:solidFill>
                <a:schemeClr val="tx1">
                  <a:lumMod val="50000"/>
                  <a:lumOff val="50000"/>
                </a:schemeClr>
              </a:solidFill>
            </a:rPr>
            <a:t> použití v místnostech</a:t>
          </a:r>
        </a:p>
        <a:p>
          <a:r>
            <a:rPr lang="cs-CZ" sz="800" baseline="0">
              <a:solidFill>
                <a:schemeClr val="tx1">
                  <a:lumMod val="50000"/>
                  <a:lumOff val="50000"/>
                </a:schemeClr>
              </a:solidFill>
            </a:rPr>
            <a:t>Okna možno zatemnit</a:t>
          </a:r>
          <a:endParaRPr lang="en-US" sz="800">
            <a:solidFill>
              <a:schemeClr val="tx1">
                <a:lumMod val="50000"/>
                <a:lumOff val="50000"/>
              </a:schemeClr>
            </a:solidFill>
          </a:endParaRPr>
        </a:p>
      </xdr:txBody>
    </xdr:sp>
    <xdr:clientData/>
  </xdr:oneCellAnchor>
  <xdr:oneCellAnchor>
    <xdr:from>
      <xdr:col>1</xdr:col>
      <xdr:colOff>539750</xdr:colOff>
      <xdr:row>26</xdr:row>
      <xdr:rowOff>146050</xdr:rowOff>
    </xdr:from>
    <xdr:ext cx="1847850" cy="468013"/>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1149350" y="5022850"/>
          <a:ext cx="184785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cs-CZ" sz="800">
              <a:solidFill>
                <a:schemeClr val="tx1">
                  <a:lumMod val="50000"/>
                  <a:lumOff val="50000"/>
                </a:schemeClr>
              </a:solidFill>
            </a:rPr>
            <a:t>Pro použití v polo-venkovních</a:t>
          </a:r>
          <a:r>
            <a:rPr lang="cs-CZ" sz="800" baseline="0">
              <a:solidFill>
                <a:schemeClr val="tx1">
                  <a:lumMod val="50000"/>
                  <a:lumOff val="50000"/>
                </a:schemeClr>
              </a:solidFill>
            </a:rPr>
            <a:t> prostorách nebo tam, kde je hodně osvětlení (blízko velkých oken)</a:t>
          </a:r>
          <a:endParaRPr lang="en-US" sz="800">
            <a:solidFill>
              <a:schemeClr val="tx1">
                <a:lumMod val="50000"/>
                <a:lumOff val="50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6</xdr:col>
          <xdr:colOff>213360</xdr:colOff>
          <xdr:row>22</xdr:row>
          <xdr:rowOff>7620</xdr:rowOff>
        </xdr:from>
        <xdr:to>
          <xdr:col>10</xdr:col>
          <xdr:colOff>441960</xdr:colOff>
          <xdr:row>29</xdr:row>
          <xdr:rowOff>160020</xdr:rowOff>
        </xdr:to>
        <xdr:sp macro="" textlink="">
          <xdr:nvSpPr>
            <xdr:cNvPr id="3094" name="Group Box 22" hidden="1">
              <a:extLst>
                <a:ext uri="{63B3BB69-23CF-44E3-9099-C40C66FF867C}">
                  <a14:compatExt spid="_x0000_s3094"/>
                </a:ext>
                <a:ext uri="{FF2B5EF4-FFF2-40B4-BE49-F238E27FC236}">
                  <a16:creationId xmlns:a16="http://schemas.microsoft.com/office/drawing/2014/main" id="{00000000-0008-0000-0100-000016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373380</xdr:colOff>
          <xdr:row>32</xdr:row>
          <xdr:rowOff>129540</xdr:rowOff>
        </xdr:from>
        <xdr:to>
          <xdr:col>6</xdr:col>
          <xdr:colOff>342900</xdr:colOff>
          <xdr:row>33</xdr:row>
          <xdr:rowOff>160020</xdr:rowOff>
        </xdr:to>
        <xdr:sp macro="" textlink="">
          <xdr:nvSpPr>
            <xdr:cNvPr id="3095" name="Option Button 23"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Standardní průmyslový počítač pro provoz 24/7 [standard]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373380</xdr:colOff>
          <xdr:row>36</xdr:row>
          <xdr:rowOff>137160</xdr:rowOff>
        </xdr:from>
        <xdr:to>
          <xdr:col>5</xdr:col>
          <xdr:colOff>312420</xdr:colOff>
          <xdr:row>37</xdr:row>
          <xdr:rowOff>175260</xdr:rowOff>
        </xdr:to>
        <xdr:sp macro="" textlink="">
          <xdr:nvSpPr>
            <xdr:cNvPr id="3096" name="Option Button 24" hidden="1">
              <a:extLst>
                <a:ext uri="{63B3BB69-23CF-44E3-9099-C40C66FF867C}">
                  <a14:compatExt spid="_x0000_s3096"/>
                </a:ext>
                <a:ext uri="{FF2B5EF4-FFF2-40B4-BE49-F238E27FC236}">
                  <a16:creationId xmlns:a16="http://schemas.microsoft.com/office/drawing/2014/main" id="{00000000-0008-0000-0100-00001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Prémiový průmyslový počítač pro provoz 24/7</a:t>
              </a:r>
            </a:p>
          </xdr:txBody>
        </xdr:sp>
        <xdr:clientData/>
      </xdr:twoCellAnchor>
    </mc:Choice>
    <mc:Fallback/>
  </mc:AlternateContent>
  <xdr:oneCellAnchor>
    <xdr:from>
      <xdr:col>1</xdr:col>
      <xdr:colOff>495300</xdr:colOff>
      <xdr:row>33</xdr:row>
      <xdr:rowOff>146050</xdr:rowOff>
    </xdr:from>
    <xdr:ext cx="3682217" cy="468013"/>
    <xdr:sp macro="" textlink="">
      <xdr:nvSpPr>
        <xdr:cNvPr id="37" name="TextBox 36">
          <a:extLst>
            <a:ext uri="{FF2B5EF4-FFF2-40B4-BE49-F238E27FC236}">
              <a16:creationId xmlns:a16="http://schemas.microsoft.com/office/drawing/2014/main" id="{00000000-0008-0000-0100-000025000000}"/>
            </a:ext>
          </a:extLst>
        </xdr:cNvPr>
        <xdr:cNvSpPr txBox="1"/>
      </xdr:nvSpPr>
      <xdr:spPr>
        <a:xfrm>
          <a:off x="1104900" y="6356350"/>
          <a:ext cx="3682217"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800">
              <a:solidFill>
                <a:schemeClr val="tx1">
                  <a:lumMod val="50000"/>
                  <a:lumOff val="50000"/>
                </a:schemeClr>
              </a:solidFill>
            </a:rPr>
            <a:t>Pro běžné kancelářské potřeby, video ve 4K, konference, prezentace </a:t>
          </a:r>
        </a:p>
        <a:p>
          <a:pPr marL="0" marR="0" lvl="0" indent="0" defTabSz="914400" eaLnBrk="1" fontAlgn="auto" latinLnBrk="0" hangingPunct="1">
            <a:lnSpc>
              <a:spcPct val="100000"/>
            </a:lnSpc>
            <a:spcBef>
              <a:spcPts val="0"/>
            </a:spcBef>
            <a:spcAft>
              <a:spcPts val="0"/>
            </a:spcAft>
            <a:buClrTx/>
            <a:buSzTx/>
            <a:buFontTx/>
            <a:buNone/>
            <a:tabLst/>
            <a:defRPr/>
          </a:pPr>
          <a:r>
            <a:rPr lang="en-US" sz="800">
              <a:solidFill>
                <a:schemeClr val="tx1">
                  <a:lumMod val="50000"/>
                  <a:lumOff val="50000"/>
                </a:schemeClr>
              </a:solidFill>
            </a:rPr>
            <a:t>Intel i3</a:t>
          </a:r>
          <a:r>
            <a:rPr lang="cs-CZ" sz="800">
              <a:solidFill>
                <a:schemeClr val="tx1">
                  <a:lumMod val="50000"/>
                  <a:lumOff val="50000"/>
                </a:schemeClr>
              </a:solidFill>
            </a:rPr>
            <a:t>-</a:t>
          </a:r>
          <a:r>
            <a:rPr lang="en-US" sz="800">
              <a:solidFill>
                <a:schemeClr val="tx1">
                  <a:lumMod val="50000"/>
                  <a:lumOff val="50000"/>
                </a:schemeClr>
              </a:solidFill>
            </a:rPr>
            <a:t>8100 @ 3.6 </a:t>
          </a:r>
          <a:r>
            <a:rPr lang="en-US" sz="800">
              <a:solidFill>
                <a:schemeClr val="tx1">
                  <a:lumMod val="50000"/>
                  <a:lumOff val="50000"/>
                </a:schemeClr>
              </a:solidFill>
              <a:latin typeface="+mn-lt"/>
              <a:ea typeface="+mn-ea"/>
              <a:cs typeface="+mn-cs"/>
            </a:rPr>
            <a:t>GHz, </a:t>
          </a:r>
          <a:r>
            <a:rPr lang="cs-CZ" sz="800">
              <a:solidFill>
                <a:schemeClr val="tx1">
                  <a:lumMod val="50000"/>
                  <a:lumOff val="50000"/>
                </a:schemeClr>
              </a:solidFill>
              <a:latin typeface="+mn-lt"/>
              <a:ea typeface="+mn-ea"/>
              <a:cs typeface="+mn-cs"/>
            </a:rPr>
            <a:t>s</a:t>
          </a:r>
          <a:r>
            <a:rPr lang="en-US" sz="800">
              <a:solidFill>
                <a:schemeClr val="tx1">
                  <a:lumMod val="50000"/>
                  <a:lumOff val="50000"/>
                </a:schemeClr>
              </a:solidFill>
              <a:latin typeface="+mn-lt"/>
              <a:ea typeface="+mn-ea"/>
              <a:cs typeface="+mn-cs"/>
            </a:rPr>
            <a:t>kóre </a:t>
          </a:r>
          <a:r>
            <a:rPr lang="en-US" sz="800" b="1">
              <a:solidFill>
                <a:schemeClr val="tx1">
                  <a:lumMod val="50000"/>
                  <a:lumOff val="50000"/>
                </a:schemeClr>
              </a:solidFill>
              <a:latin typeface="+mn-lt"/>
              <a:ea typeface="+mn-ea"/>
              <a:cs typeface="+mn-cs"/>
            </a:rPr>
            <a:t>8 009 </a:t>
          </a:r>
          <a:r>
            <a:rPr lang="en-US" sz="800">
              <a:solidFill>
                <a:schemeClr val="tx1">
                  <a:lumMod val="50000"/>
                  <a:lumOff val="50000"/>
                </a:schemeClr>
              </a:solidFill>
              <a:latin typeface="+mn-lt"/>
              <a:ea typeface="+mn-ea"/>
              <a:cs typeface="+mn-cs"/>
            </a:rPr>
            <a:t>(cpubenchmark), 4 fyzické jádra</a:t>
          </a:r>
        </a:p>
        <a:p>
          <a:r>
            <a:rPr lang="en-US" sz="800">
              <a:solidFill>
                <a:schemeClr val="tx1">
                  <a:lumMod val="50000"/>
                  <a:lumOff val="50000"/>
                </a:schemeClr>
              </a:solidFill>
              <a:latin typeface="+mn-lt"/>
              <a:ea typeface="+mn-ea"/>
              <a:cs typeface="+mn-cs"/>
            </a:rPr>
            <a:t>8GB DDR4, 128GB SSD,Windows IoT Enteprise</a:t>
          </a:r>
        </a:p>
      </xdr:txBody>
    </xdr:sp>
    <xdr:clientData/>
  </xdr:oneCellAnchor>
  <xdr:oneCellAnchor>
    <xdr:from>
      <xdr:col>1</xdr:col>
      <xdr:colOff>495300</xdr:colOff>
      <xdr:row>38</xdr:row>
      <xdr:rowOff>0</xdr:rowOff>
    </xdr:from>
    <xdr:ext cx="3682217" cy="593239"/>
    <xdr:sp macro="" textlink="">
      <xdr:nvSpPr>
        <xdr:cNvPr id="38" name="TextBox 37">
          <a:extLst>
            <a:ext uri="{FF2B5EF4-FFF2-40B4-BE49-F238E27FC236}">
              <a16:creationId xmlns:a16="http://schemas.microsoft.com/office/drawing/2014/main" id="{00000000-0008-0000-0100-000026000000}"/>
            </a:ext>
          </a:extLst>
        </xdr:cNvPr>
        <xdr:cNvSpPr txBox="1"/>
      </xdr:nvSpPr>
      <xdr:spPr>
        <a:xfrm>
          <a:off x="1104900" y="7131050"/>
          <a:ext cx="3682217" cy="5932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800">
              <a:solidFill>
                <a:schemeClr val="tx1">
                  <a:lumMod val="50000"/>
                  <a:lumOff val="50000"/>
                </a:schemeClr>
              </a:solidFill>
            </a:rPr>
            <a:t>Pro zobrazování 3D modelů, práci s videem a speciálními programy</a:t>
          </a:r>
        </a:p>
        <a:p>
          <a:r>
            <a:rPr lang="en-US" sz="800">
              <a:solidFill>
                <a:schemeClr val="tx1">
                  <a:lumMod val="50000"/>
                  <a:lumOff val="50000"/>
                </a:schemeClr>
              </a:solidFill>
              <a:latin typeface="+mn-lt"/>
              <a:ea typeface="+mn-ea"/>
              <a:cs typeface="+mn-cs"/>
            </a:rPr>
            <a:t>Intel i7</a:t>
          </a:r>
          <a:r>
            <a:rPr lang="cs-CZ" sz="800">
              <a:solidFill>
                <a:schemeClr val="tx1">
                  <a:lumMod val="50000"/>
                  <a:lumOff val="50000"/>
                </a:schemeClr>
              </a:solidFill>
              <a:latin typeface="+mn-lt"/>
              <a:ea typeface="+mn-ea"/>
              <a:cs typeface="+mn-cs"/>
            </a:rPr>
            <a:t>-</a:t>
          </a:r>
          <a:r>
            <a:rPr lang="en-US" sz="800">
              <a:solidFill>
                <a:schemeClr val="tx1">
                  <a:lumMod val="50000"/>
                  <a:lumOff val="50000"/>
                </a:schemeClr>
              </a:solidFill>
              <a:latin typeface="+mn-lt"/>
              <a:ea typeface="+mn-ea"/>
              <a:cs typeface="+mn-cs"/>
            </a:rPr>
            <a:t>8700 @ 3.2GHz, </a:t>
          </a:r>
          <a:r>
            <a:rPr lang="cs-CZ" sz="800">
              <a:solidFill>
                <a:schemeClr val="tx1">
                  <a:lumMod val="50000"/>
                  <a:lumOff val="50000"/>
                </a:schemeClr>
              </a:solidFill>
              <a:latin typeface="+mn-lt"/>
              <a:ea typeface="+mn-ea"/>
              <a:cs typeface="+mn-cs"/>
            </a:rPr>
            <a:t>s</a:t>
          </a:r>
          <a:r>
            <a:rPr lang="en-US" sz="800">
              <a:solidFill>
                <a:schemeClr val="tx1">
                  <a:lumMod val="50000"/>
                  <a:lumOff val="50000"/>
                </a:schemeClr>
              </a:solidFill>
              <a:latin typeface="+mn-lt"/>
              <a:ea typeface="+mn-ea"/>
              <a:cs typeface="+mn-cs"/>
            </a:rPr>
            <a:t>kóre </a:t>
          </a:r>
          <a:r>
            <a:rPr lang="en-US" sz="800" b="1">
              <a:solidFill>
                <a:schemeClr val="tx1">
                  <a:lumMod val="50000"/>
                  <a:lumOff val="50000"/>
                </a:schemeClr>
              </a:solidFill>
              <a:latin typeface="+mn-lt"/>
              <a:ea typeface="+mn-ea"/>
              <a:cs typeface="+mn-cs"/>
            </a:rPr>
            <a:t>15 142 </a:t>
          </a:r>
          <a:r>
            <a:rPr lang="en-US" sz="800">
              <a:solidFill>
                <a:schemeClr val="tx1">
                  <a:lumMod val="50000"/>
                  <a:lumOff val="50000"/>
                </a:schemeClr>
              </a:solidFill>
              <a:latin typeface="+mn-lt"/>
              <a:ea typeface="+mn-ea"/>
              <a:cs typeface="+mn-cs"/>
            </a:rPr>
            <a:t>(cpubenchmark), 6 jader, 3 fyzické</a:t>
          </a:r>
          <a:br>
            <a:rPr lang="cs-CZ" sz="800">
              <a:solidFill>
                <a:schemeClr val="tx1">
                  <a:lumMod val="50000"/>
                  <a:lumOff val="50000"/>
                </a:schemeClr>
              </a:solidFill>
              <a:latin typeface="+mn-lt"/>
              <a:ea typeface="+mn-ea"/>
              <a:cs typeface="+mn-cs"/>
            </a:rPr>
          </a:br>
          <a:r>
            <a:rPr lang="en-US" sz="800">
              <a:solidFill>
                <a:schemeClr val="tx1">
                  <a:lumMod val="50000"/>
                  <a:lumOff val="50000"/>
                </a:schemeClr>
              </a:solidFill>
              <a:latin typeface="+mn-lt"/>
              <a:ea typeface="+mn-ea"/>
              <a:cs typeface="+mn-cs"/>
            </a:rPr>
            <a:t>16 GB DDR4, 256GB SSD,Windows IoT Enteprise </a:t>
          </a:r>
        </a:p>
        <a:p>
          <a:r>
            <a:rPr lang="en-US" sz="800">
              <a:solidFill>
                <a:schemeClr val="tx1">
                  <a:lumMod val="50000"/>
                  <a:lumOff val="50000"/>
                </a:schemeClr>
              </a:solidFill>
              <a:latin typeface="+mn-lt"/>
              <a:ea typeface="+mn-ea"/>
              <a:cs typeface="+mn-cs"/>
            </a:rPr>
            <a:t> </a:t>
          </a:r>
        </a:p>
      </xdr:txBody>
    </xdr:sp>
    <xdr:clientData/>
  </xdr:oneCellAnchor>
  <mc:AlternateContent xmlns:mc="http://schemas.openxmlformats.org/markup-compatibility/2006">
    <mc:Choice xmlns:a14="http://schemas.microsoft.com/office/drawing/2010/main" Requires="a14">
      <xdr:twoCellAnchor editAs="oneCell">
        <xdr:from>
          <xdr:col>1</xdr:col>
          <xdr:colOff>228600</xdr:colOff>
          <xdr:row>32</xdr:row>
          <xdr:rowOff>30480</xdr:rowOff>
        </xdr:from>
        <xdr:to>
          <xdr:col>7</xdr:col>
          <xdr:colOff>167640</xdr:colOff>
          <xdr:row>40</xdr:row>
          <xdr:rowOff>175260</xdr:rowOff>
        </xdr:to>
        <xdr:sp macro="" textlink="">
          <xdr:nvSpPr>
            <xdr:cNvPr id="3098" name="Group Box 26" hidden="1">
              <a:extLst>
                <a:ext uri="{63B3BB69-23CF-44E3-9099-C40C66FF867C}">
                  <a14:compatExt spid="_x0000_s3098"/>
                </a:ext>
                <a:ext uri="{FF2B5EF4-FFF2-40B4-BE49-F238E27FC236}">
                  <a16:creationId xmlns:a16="http://schemas.microsoft.com/office/drawing/2014/main" id="{00000000-0008-0000-0100-00001A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32</xdr:row>
          <xdr:rowOff>137160</xdr:rowOff>
        </xdr:from>
        <xdr:to>
          <xdr:col>10</xdr:col>
          <xdr:colOff>205740</xdr:colOff>
          <xdr:row>33</xdr:row>
          <xdr:rowOff>160020</xdr:rowOff>
        </xdr:to>
        <xdr:sp macro="" textlink="">
          <xdr:nvSpPr>
            <xdr:cNvPr id="3102" name="Option Button 30" hidden="1">
              <a:extLst>
                <a:ext uri="{63B3BB69-23CF-44E3-9099-C40C66FF867C}">
                  <a14:compatExt spid="_x0000_s3102"/>
                </a:ext>
                <a:ext uri="{FF2B5EF4-FFF2-40B4-BE49-F238E27FC236}">
                  <a16:creationId xmlns:a16="http://schemas.microsoft.com/office/drawing/2014/main" id="{00000000-0008-0000-0100-00001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Přes Wi-Fi (standard)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33</xdr:row>
          <xdr:rowOff>144780</xdr:rowOff>
        </xdr:from>
        <xdr:to>
          <xdr:col>10</xdr:col>
          <xdr:colOff>205740</xdr:colOff>
          <xdr:row>35</xdr:row>
          <xdr:rowOff>0</xdr:rowOff>
        </xdr:to>
        <xdr:sp macro="" textlink="">
          <xdr:nvSpPr>
            <xdr:cNvPr id="3103" name="Option Button 31" hidden="1">
              <a:extLst>
                <a:ext uri="{63B3BB69-23CF-44E3-9099-C40C66FF867C}">
                  <a14:compatExt spid="_x0000_s3103"/>
                </a:ext>
                <a:ext uri="{FF2B5EF4-FFF2-40B4-BE49-F238E27FC236}">
                  <a16:creationId xmlns:a16="http://schemas.microsoft.com/office/drawing/2014/main" id="{00000000-0008-0000-0100-00001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Přes datový kabel</a:t>
              </a:r>
            </a:p>
          </xdr:txBody>
        </xdr:sp>
        <xdr:clientData/>
      </xdr:twoCellAnchor>
    </mc:Choice>
    <mc:Fallback/>
  </mc:AlternateContent>
  <xdr:oneCellAnchor>
    <xdr:from>
      <xdr:col>8</xdr:col>
      <xdr:colOff>247439</xdr:colOff>
      <xdr:row>34</xdr:row>
      <xdr:rowOff>125618</xdr:rowOff>
    </xdr:from>
    <xdr:ext cx="1313391" cy="1036110"/>
    <xdr:sp macro="" textlink="">
      <xdr:nvSpPr>
        <xdr:cNvPr id="49" name="TextBox 48">
          <a:extLst>
            <a:ext uri="{FF2B5EF4-FFF2-40B4-BE49-F238E27FC236}">
              <a16:creationId xmlns:a16="http://schemas.microsoft.com/office/drawing/2014/main" id="{00000000-0008-0000-0100-000031000000}"/>
            </a:ext>
          </a:extLst>
        </xdr:cNvPr>
        <xdr:cNvSpPr txBox="1"/>
      </xdr:nvSpPr>
      <xdr:spPr>
        <a:xfrm>
          <a:off x="4946439" y="6475618"/>
          <a:ext cx="1313391" cy="1036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800">
              <a:solidFill>
                <a:schemeClr val="tx1">
                  <a:lumMod val="50000"/>
                  <a:lumOff val="50000"/>
                </a:schemeClr>
              </a:solidFill>
            </a:rPr>
            <a:t>Zákazník zajistí datový kabel z objímky přímo pod, nad, nebo vedle příčky tam, kde příčka navazuje na stěnu, podlahu nebo strop</a:t>
          </a:r>
          <a:endParaRPr lang="en-US" sz="800">
            <a:solidFill>
              <a:schemeClr val="tx1">
                <a:lumMod val="50000"/>
                <a:lumOff val="50000"/>
              </a:schemeClr>
            </a:solidFill>
            <a:latin typeface="+mn-lt"/>
            <a:ea typeface="+mn-ea"/>
            <a:cs typeface="+mn-cs"/>
          </a:endParaRPr>
        </a:p>
      </xdr:txBody>
    </xdr:sp>
    <xdr:clientData/>
  </xdr:oneCellAnchor>
  <mc:AlternateContent xmlns:mc="http://schemas.openxmlformats.org/markup-compatibility/2006">
    <mc:Choice xmlns:a14="http://schemas.microsoft.com/office/drawing/2010/main" Requires="a14">
      <xdr:twoCellAnchor editAs="oneCell">
        <xdr:from>
          <xdr:col>8</xdr:col>
          <xdr:colOff>0</xdr:colOff>
          <xdr:row>32</xdr:row>
          <xdr:rowOff>15240</xdr:rowOff>
        </xdr:from>
        <xdr:to>
          <xdr:col>10</xdr:col>
          <xdr:colOff>426720</xdr:colOff>
          <xdr:row>40</xdr:row>
          <xdr:rowOff>160020</xdr:rowOff>
        </xdr:to>
        <xdr:sp macro="" textlink="">
          <xdr:nvSpPr>
            <xdr:cNvPr id="3105" name="Group Box 33" hidden="1">
              <a:extLst>
                <a:ext uri="{63B3BB69-23CF-44E3-9099-C40C66FF867C}">
                  <a14:compatExt spid="_x0000_s3105"/>
                </a:ext>
                <a:ext uri="{FF2B5EF4-FFF2-40B4-BE49-F238E27FC236}">
                  <a16:creationId xmlns:a16="http://schemas.microsoft.com/office/drawing/2014/main" id="{00000000-0008-0000-0100-00002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236220</xdr:colOff>
          <xdr:row>49</xdr:row>
          <xdr:rowOff>53340</xdr:rowOff>
        </xdr:from>
        <xdr:to>
          <xdr:col>7</xdr:col>
          <xdr:colOff>175260</xdr:colOff>
          <xdr:row>58</xdr:row>
          <xdr:rowOff>7620</xdr:rowOff>
        </xdr:to>
        <xdr:sp macro="" textlink="">
          <xdr:nvSpPr>
            <xdr:cNvPr id="3107" name="Group Box 35" hidden="1">
              <a:extLst>
                <a:ext uri="{63B3BB69-23CF-44E3-9099-C40C66FF867C}">
                  <a14:compatExt spid="_x0000_s3107"/>
                </a:ext>
                <a:ext uri="{FF2B5EF4-FFF2-40B4-BE49-F238E27FC236}">
                  <a16:creationId xmlns:a16="http://schemas.microsoft.com/office/drawing/2014/main" id="{00000000-0008-0000-0100-00002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xdr:col>
      <xdr:colOff>488951</xdr:colOff>
      <xdr:row>50</xdr:row>
      <xdr:rowOff>89771</xdr:rowOff>
    </xdr:from>
    <xdr:to>
      <xdr:col>7</xdr:col>
      <xdr:colOff>28907</xdr:colOff>
      <xdr:row>51</xdr:row>
      <xdr:rowOff>117554</xdr:rowOff>
    </xdr:to>
    <xdr:sp macro="" textlink="">
      <xdr:nvSpPr>
        <xdr:cNvPr id="42" name="TextBox 41">
          <a:extLst>
            <a:ext uri="{FF2B5EF4-FFF2-40B4-BE49-F238E27FC236}">
              <a16:creationId xmlns:a16="http://schemas.microsoft.com/office/drawing/2014/main" id="{00000000-0008-0000-0100-00002A000000}"/>
            </a:ext>
          </a:extLst>
        </xdr:cNvPr>
        <xdr:cNvSpPr txBox="1"/>
      </xdr:nvSpPr>
      <xdr:spPr>
        <a:xfrm>
          <a:off x="1098551" y="9754471"/>
          <a:ext cx="3184856" cy="2182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Kromě </a:t>
          </a:r>
          <a:r>
            <a:rPr lang="cs-CZ" sz="800" baseline="0">
              <a:solidFill>
                <a:schemeClr val="tx1">
                  <a:lumMod val="50000"/>
                  <a:lumOff val="50000"/>
                </a:schemeClr>
              </a:solidFill>
            </a:rPr>
            <a:t>napájecího nebudou z příčky vyvedeny žádné kabely</a:t>
          </a:r>
          <a:endParaRPr lang="en-US" sz="800">
            <a:solidFill>
              <a:schemeClr val="tx1">
                <a:lumMod val="50000"/>
                <a:lumOff val="50000"/>
              </a:schemeClr>
            </a:solidFill>
            <a:latin typeface="+mn-lt"/>
            <a:ea typeface="+mn-ea"/>
            <a:cs typeface="+mn-cs"/>
          </a:endParaRPr>
        </a:p>
      </xdr:txBody>
    </xdr:sp>
    <xdr:clientData/>
  </xdr:twoCellAnchor>
  <xdr:twoCellAnchor>
    <xdr:from>
      <xdr:col>1</xdr:col>
      <xdr:colOff>482600</xdr:colOff>
      <xdr:row>52</xdr:row>
      <xdr:rowOff>33824</xdr:rowOff>
    </xdr:from>
    <xdr:to>
      <xdr:col>7</xdr:col>
      <xdr:colOff>114300</xdr:colOff>
      <xdr:row>54</xdr:row>
      <xdr:rowOff>12700</xdr:rowOff>
    </xdr:to>
    <xdr:sp macro="" textlink="">
      <xdr:nvSpPr>
        <xdr:cNvPr id="43" name="TextBox 42">
          <a:extLst>
            <a:ext uri="{FF2B5EF4-FFF2-40B4-BE49-F238E27FC236}">
              <a16:creationId xmlns:a16="http://schemas.microsoft.com/office/drawing/2014/main" id="{00000000-0008-0000-0100-00002B000000}"/>
            </a:ext>
          </a:extLst>
        </xdr:cNvPr>
        <xdr:cNvSpPr txBox="1"/>
      </xdr:nvSpPr>
      <xdr:spPr>
        <a:xfrm>
          <a:off x="1092200" y="10079524"/>
          <a:ext cx="3276600" cy="480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Maximální délka HDMI a USB je 15m, audio kabel 20m</a:t>
          </a:r>
        </a:p>
        <a:p>
          <a:r>
            <a:rPr lang="cs-CZ" sz="800">
              <a:solidFill>
                <a:schemeClr val="tx1">
                  <a:lumMod val="50000"/>
                  <a:lumOff val="50000"/>
                </a:schemeClr>
              </a:solidFill>
              <a:latin typeface="+mn-lt"/>
              <a:ea typeface="+mn-ea"/>
              <a:cs typeface="+mn-cs"/>
            </a:rPr>
            <a:t>Kabely budou vedeny</a:t>
          </a:r>
          <a:r>
            <a:rPr lang="cs-CZ" sz="800" baseline="0">
              <a:solidFill>
                <a:schemeClr val="tx1">
                  <a:lumMod val="50000"/>
                  <a:lumOff val="50000"/>
                </a:schemeClr>
              </a:solidFill>
              <a:latin typeface="+mn-lt"/>
              <a:ea typeface="+mn-ea"/>
              <a:cs typeface="+mn-cs"/>
            </a:rPr>
            <a:t> od přímky předem připravenou objímkou nebo jiným způsobem - určuje zákazník - zodpovídá za stavební připravenost</a:t>
          </a:r>
          <a:endParaRPr lang="en-US" sz="800">
            <a:solidFill>
              <a:schemeClr val="tx1">
                <a:lumMod val="50000"/>
                <a:lumOff val="50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358140</xdr:colOff>
          <xdr:row>49</xdr:row>
          <xdr:rowOff>99060</xdr:rowOff>
        </xdr:from>
        <xdr:to>
          <xdr:col>3</xdr:col>
          <xdr:colOff>129540</xdr:colOff>
          <xdr:row>50</xdr:row>
          <xdr:rowOff>129540</xdr:rowOff>
        </xdr:to>
        <xdr:sp macro="" textlink="">
          <xdr:nvSpPr>
            <xdr:cNvPr id="3108" name="Option Button 36" hidden="1">
              <a:extLst>
                <a:ext uri="{63B3BB69-23CF-44E3-9099-C40C66FF867C}">
                  <a14:compatExt spid="_x0000_s3108"/>
                </a:ext>
                <a:ext uri="{FF2B5EF4-FFF2-40B4-BE49-F238E27FC236}">
                  <a16:creationId xmlns:a16="http://schemas.microsoft.com/office/drawing/2014/main" id="{00000000-0008-0000-0100-00002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Standard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350520</xdr:colOff>
          <xdr:row>51</xdr:row>
          <xdr:rowOff>68580</xdr:rowOff>
        </xdr:from>
        <xdr:to>
          <xdr:col>3</xdr:col>
          <xdr:colOff>121920</xdr:colOff>
          <xdr:row>52</xdr:row>
          <xdr:rowOff>91440</xdr:rowOff>
        </xdr:to>
        <xdr:sp macro="" textlink="">
          <xdr:nvSpPr>
            <xdr:cNvPr id="3109" name="Option Button 37" hidden="1">
              <a:extLst>
                <a:ext uri="{63B3BB69-23CF-44E3-9099-C40C66FF867C}">
                  <a14:compatExt spid="_x0000_s3109"/>
                </a:ext>
                <a:ext uri="{FF2B5EF4-FFF2-40B4-BE49-F238E27FC236}">
                  <a16:creationId xmlns:a16="http://schemas.microsoft.com/office/drawing/2014/main" id="{00000000-0008-0000-0100-00002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Extra kabely</a:t>
              </a:r>
            </a:p>
          </xdr:txBody>
        </xdr:sp>
        <xdr:clientData/>
      </xdr:twoCellAnchor>
    </mc:Choice>
    <mc:Fallback/>
  </mc:AlternateContent>
  <xdr:twoCellAnchor>
    <xdr:from>
      <xdr:col>1</xdr:col>
      <xdr:colOff>501651</xdr:colOff>
      <xdr:row>61</xdr:row>
      <xdr:rowOff>134222</xdr:rowOff>
    </xdr:from>
    <xdr:to>
      <xdr:col>7</xdr:col>
      <xdr:colOff>57150</xdr:colOff>
      <xdr:row>63</xdr:row>
      <xdr:rowOff>0</xdr:rowOff>
    </xdr:to>
    <xdr:sp macro="" textlink="">
      <xdr:nvSpPr>
        <xdr:cNvPr id="73" name="TextBox 72">
          <a:extLst>
            <a:ext uri="{FF2B5EF4-FFF2-40B4-BE49-F238E27FC236}">
              <a16:creationId xmlns:a16="http://schemas.microsoft.com/office/drawing/2014/main" id="{00000000-0008-0000-0100-000049000000}"/>
            </a:ext>
          </a:extLst>
        </xdr:cNvPr>
        <xdr:cNvSpPr txBox="1"/>
      </xdr:nvSpPr>
      <xdr:spPr>
        <a:xfrm>
          <a:off x="1111251" y="12351622"/>
          <a:ext cx="3200399" cy="2340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Všechny komponenty jsou schované v příčce</a:t>
          </a:r>
          <a:endParaRPr lang="en-US" sz="800">
            <a:solidFill>
              <a:schemeClr val="tx1">
                <a:lumMod val="50000"/>
                <a:lumOff val="50000"/>
              </a:schemeClr>
            </a:solidFill>
            <a:latin typeface="+mn-lt"/>
            <a:ea typeface="+mn-ea"/>
            <a:cs typeface="+mn-cs"/>
          </a:endParaRPr>
        </a:p>
      </xdr:txBody>
    </xdr:sp>
    <xdr:clientData/>
  </xdr:twoCellAnchor>
  <xdr:twoCellAnchor>
    <xdr:from>
      <xdr:col>1</xdr:col>
      <xdr:colOff>495301</xdr:colOff>
      <xdr:row>63</xdr:row>
      <xdr:rowOff>165971</xdr:rowOff>
    </xdr:from>
    <xdr:to>
      <xdr:col>7</xdr:col>
      <xdr:colOff>12700</xdr:colOff>
      <xdr:row>65</xdr:row>
      <xdr:rowOff>25400</xdr:rowOff>
    </xdr:to>
    <xdr:sp macro="" textlink="">
      <xdr:nvSpPr>
        <xdr:cNvPr id="74" name="TextBox 73">
          <a:extLst>
            <a:ext uri="{FF2B5EF4-FFF2-40B4-BE49-F238E27FC236}">
              <a16:creationId xmlns:a16="http://schemas.microsoft.com/office/drawing/2014/main" id="{00000000-0008-0000-0100-00004A000000}"/>
            </a:ext>
          </a:extLst>
        </xdr:cNvPr>
        <xdr:cNvSpPr txBox="1"/>
      </xdr:nvSpPr>
      <xdr:spPr>
        <a:xfrm>
          <a:off x="1104901" y="12751671"/>
          <a:ext cx="3162299" cy="2277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Požadován přístup z boční nebo zadní strany</a:t>
          </a:r>
          <a:endParaRPr lang="en-US" sz="800">
            <a:solidFill>
              <a:schemeClr val="tx1">
                <a:lumMod val="50000"/>
                <a:lumOff val="50000"/>
              </a:schemeClr>
            </a:solidFill>
            <a:latin typeface="+mn-lt"/>
            <a:ea typeface="+mn-ea"/>
            <a:cs typeface="+mn-cs"/>
          </a:endParaRPr>
        </a:p>
      </xdr:txBody>
    </xdr:sp>
    <xdr:clientData/>
  </xdr:twoCellAnchor>
  <xdr:twoCellAnchor>
    <xdr:from>
      <xdr:col>1</xdr:col>
      <xdr:colOff>495301</xdr:colOff>
      <xdr:row>66</xdr:row>
      <xdr:rowOff>26273</xdr:rowOff>
    </xdr:from>
    <xdr:to>
      <xdr:col>7</xdr:col>
      <xdr:colOff>19050</xdr:colOff>
      <xdr:row>69</xdr:row>
      <xdr:rowOff>63501</xdr:rowOff>
    </xdr:to>
    <xdr:sp macro="" textlink="">
      <xdr:nvSpPr>
        <xdr:cNvPr id="75" name="TextBox 74">
          <a:extLst>
            <a:ext uri="{FF2B5EF4-FFF2-40B4-BE49-F238E27FC236}">
              <a16:creationId xmlns:a16="http://schemas.microsoft.com/office/drawing/2014/main" id="{00000000-0008-0000-0100-00004B000000}"/>
            </a:ext>
          </a:extLst>
        </xdr:cNvPr>
        <xdr:cNvSpPr txBox="1"/>
      </xdr:nvSpPr>
      <xdr:spPr>
        <a:xfrm>
          <a:off x="1104901" y="13164423"/>
          <a:ext cx="3168649" cy="5896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Komponenty v závěsném koši, například pod stolem, ve skříni, apod.</a:t>
          </a:r>
          <a:endParaRPr lang="cs-CZ" sz="800">
            <a:solidFill>
              <a:schemeClr val="tx1">
                <a:lumMod val="50000"/>
                <a:lumOff val="50000"/>
              </a:schemeClr>
            </a:solidFill>
            <a:latin typeface="+mn-lt"/>
            <a:ea typeface="+mn-ea"/>
            <a:cs typeface="+mn-cs"/>
          </a:endParaRPr>
        </a:p>
        <a:p>
          <a:r>
            <a:rPr lang="cs-CZ" sz="800" b="1">
              <a:solidFill>
                <a:schemeClr val="tx1">
                  <a:lumMod val="50000"/>
                  <a:lumOff val="50000"/>
                </a:schemeClr>
              </a:solidFill>
              <a:latin typeface="+mn-lt"/>
              <a:ea typeface="+mn-ea"/>
              <a:cs typeface="+mn-cs"/>
            </a:rPr>
            <a:t>Zákazník</a:t>
          </a:r>
          <a:r>
            <a:rPr lang="cs-CZ" sz="800" b="1" baseline="0">
              <a:solidFill>
                <a:schemeClr val="tx1">
                  <a:lumMod val="50000"/>
                  <a:lumOff val="50000"/>
                </a:schemeClr>
              </a:solidFill>
              <a:latin typeface="+mn-lt"/>
              <a:ea typeface="+mn-ea"/>
              <a:cs typeface="+mn-cs"/>
            </a:rPr>
            <a:t> musí zajistit </a:t>
          </a:r>
          <a:r>
            <a:rPr lang="cs-CZ" sz="800" baseline="0">
              <a:solidFill>
                <a:schemeClr val="tx1">
                  <a:lumMod val="50000"/>
                  <a:lumOff val="50000"/>
                </a:schemeClr>
              </a:solidFill>
              <a:latin typeface="+mn-lt"/>
              <a:ea typeface="+mn-ea"/>
              <a:cs typeface="+mn-cs"/>
            </a:rPr>
            <a:t>objímky vedoucí od vyfrézovaných otvorů pro napájení (popř. od jiného určeného místa) tam, kam si přeje komponenty umístit - stavební připravnost- objímka o průměru 60mm.</a:t>
          </a:r>
          <a:endParaRPr lang="cs-CZ" sz="800">
            <a:solidFill>
              <a:schemeClr val="tx1">
                <a:lumMod val="50000"/>
                <a:lumOff val="50000"/>
              </a:schemeClr>
            </a:solidFill>
          </a:endParaRPr>
        </a:p>
      </xdr:txBody>
    </xdr:sp>
    <xdr:clientData/>
  </xdr:twoCellAnchor>
  <xdr:oneCellAnchor>
    <xdr:from>
      <xdr:col>1</xdr:col>
      <xdr:colOff>481327</xdr:colOff>
      <xdr:row>53</xdr:row>
      <xdr:rowOff>282892</xdr:rowOff>
    </xdr:from>
    <xdr:ext cx="1338897" cy="217560"/>
    <xdr:sp macro="" textlink="">
      <xdr:nvSpPr>
        <xdr:cNvPr id="19" name="TextBox 61">
          <a:extLst>
            <a:ext uri="{FF2B5EF4-FFF2-40B4-BE49-F238E27FC236}">
              <a16:creationId xmlns:a16="http://schemas.microsoft.com/office/drawing/2014/main" id="{00000000-0008-0000-0100-000013000000}"/>
            </a:ext>
          </a:extLst>
        </xdr:cNvPr>
        <xdr:cNvSpPr txBox="1"/>
      </xdr:nvSpPr>
      <xdr:spPr>
        <a:xfrm>
          <a:off x="1092515" y="10458767"/>
          <a:ext cx="1338897"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r>
            <a:rPr lang="cs-CZ" sz="800">
              <a:solidFill>
                <a:schemeClr val="tx1">
                  <a:lumMod val="50000"/>
                  <a:lumOff val="50000"/>
                </a:schemeClr>
              </a:solidFill>
            </a:rPr>
            <a:t>High-speed</a:t>
          </a:r>
          <a:r>
            <a:rPr lang="cs-CZ" sz="800" baseline="0">
              <a:solidFill>
                <a:schemeClr val="tx1">
                  <a:lumMod val="50000"/>
                  <a:lumOff val="50000"/>
                </a:schemeClr>
              </a:solidFill>
            </a:rPr>
            <a:t> 4Kx2K@60Hz</a:t>
          </a:r>
          <a:endParaRPr lang="en-US" sz="800">
            <a:solidFill>
              <a:schemeClr val="tx1">
                <a:lumMod val="50000"/>
                <a:lumOff val="50000"/>
              </a:schemeClr>
            </a:solidFill>
            <a:latin typeface="+mn-lt"/>
            <a:ea typeface="+mn-ea"/>
            <a:cs typeface="+mn-cs"/>
          </a:endParaRPr>
        </a:p>
      </xdr:txBody>
    </xdr:sp>
    <xdr:clientData/>
  </xdr:oneCellAnchor>
  <xdr:oneCellAnchor>
    <xdr:from>
      <xdr:col>1</xdr:col>
      <xdr:colOff>579759</xdr:colOff>
      <xdr:row>54</xdr:row>
      <xdr:rowOff>134305</xdr:rowOff>
    </xdr:from>
    <xdr:ext cx="901378" cy="217560"/>
    <xdr:sp macro="" textlink="">
      <xdr:nvSpPr>
        <xdr:cNvPr id="18" name="TextBox 62">
          <a:extLst>
            <a:ext uri="{FF2B5EF4-FFF2-40B4-BE49-F238E27FC236}">
              <a16:creationId xmlns:a16="http://schemas.microsoft.com/office/drawing/2014/main" id="{00000000-0008-0000-0100-000012000000}"/>
            </a:ext>
          </a:extLst>
        </xdr:cNvPr>
        <xdr:cNvSpPr txBox="1"/>
      </xdr:nvSpPr>
      <xdr:spPr>
        <a:xfrm>
          <a:off x="1190947" y="10627680"/>
          <a:ext cx="901378"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r>
            <a:rPr lang="cs-CZ" sz="800">
              <a:solidFill>
                <a:schemeClr val="tx1">
                  <a:lumMod val="50000"/>
                  <a:lumOff val="50000"/>
                </a:schemeClr>
              </a:solidFill>
            </a:rPr>
            <a:t>Typ A 3.0</a:t>
          </a:r>
          <a:r>
            <a:rPr lang="cs-CZ" sz="800" baseline="0">
              <a:solidFill>
                <a:schemeClr val="tx1">
                  <a:lumMod val="50000"/>
                  <a:lumOff val="50000"/>
                </a:schemeClr>
              </a:solidFill>
            </a:rPr>
            <a:t> nebo C</a:t>
          </a:r>
          <a:endParaRPr lang="en-US" sz="800">
            <a:solidFill>
              <a:schemeClr val="tx1">
                <a:lumMod val="50000"/>
                <a:lumOff val="50000"/>
              </a:schemeClr>
            </a:solidFill>
            <a:latin typeface="+mn-lt"/>
            <a:ea typeface="+mn-ea"/>
            <a:cs typeface="+mn-cs"/>
          </a:endParaRPr>
        </a:p>
      </xdr:txBody>
    </xdr:sp>
    <xdr:clientData/>
  </xdr:oneCellAnchor>
  <mc:AlternateContent xmlns:mc="http://schemas.openxmlformats.org/markup-compatibility/2006">
    <mc:Choice xmlns:a14="http://schemas.microsoft.com/office/drawing/2010/main" Requires="a14">
      <xdr:twoCellAnchor editAs="oneCell">
        <xdr:from>
          <xdr:col>1</xdr:col>
          <xdr:colOff>228600</xdr:colOff>
          <xdr:row>60</xdr:row>
          <xdr:rowOff>76200</xdr:rowOff>
        </xdr:from>
        <xdr:to>
          <xdr:col>7</xdr:col>
          <xdr:colOff>182880</xdr:colOff>
          <xdr:row>69</xdr:row>
          <xdr:rowOff>99060</xdr:rowOff>
        </xdr:to>
        <xdr:sp macro="" textlink="">
          <xdr:nvSpPr>
            <xdr:cNvPr id="3129" name="Group Box 57" hidden="1">
              <a:extLst>
                <a:ext uri="{63B3BB69-23CF-44E3-9099-C40C66FF867C}">
                  <a14:compatExt spid="_x0000_s3129"/>
                </a:ext>
                <a:ext uri="{FF2B5EF4-FFF2-40B4-BE49-F238E27FC236}">
                  <a16:creationId xmlns:a16="http://schemas.microsoft.com/office/drawing/2014/main" id="{00000000-0008-0000-0100-000039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358140</xdr:colOff>
          <xdr:row>60</xdr:row>
          <xdr:rowOff>167640</xdr:rowOff>
        </xdr:from>
        <xdr:to>
          <xdr:col>4</xdr:col>
          <xdr:colOff>586740</xdr:colOff>
          <xdr:row>62</xdr:row>
          <xdr:rowOff>22860</xdr:rowOff>
        </xdr:to>
        <xdr:sp macro="" textlink="">
          <xdr:nvSpPr>
            <xdr:cNvPr id="3130" name="Option Button 58" hidden="1">
              <a:extLst>
                <a:ext uri="{63B3BB69-23CF-44E3-9099-C40C66FF867C}">
                  <a14:compatExt spid="_x0000_s3130"/>
                </a:ext>
                <a:ext uri="{FF2B5EF4-FFF2-40B4-BE49-F238E27FC236}">
                  <a16:creationId xmlns:a16="http://schemas.microsoft.com/office/drawing/2014/main" id="{00000000-0008-0000-0100-00003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Standard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365760</xdr:colOff>
          <xdr:row>62</xdr:row>
          <xdr:rowOff>167640</xdr:rowOff>
        </xdr:from>
        <xdr:to>
          <xdr:col>5</xdr:col>
          <xdr:colOff>411480</xdr:colOff>
          <xdr:row>64</xdr:row>
          <xdr:rowOff>68580</xdr:rowOff>
        </xdr:to>
        <xdr:sp macro="" textlink="">
          <xdr:nvSpPr>
            <xdr:cNvPr id="3131" name="Option Button 59" hidden="1">
              <a:extLst>
                <a:ext uri="{63B3BB69-23CF-44E3-9099-C40C66FF867C}">
                  <a14:compatExt spid="_x0000_s3131"/>
                </a:ext>
                <a:ext uri="{FF2B5EF4-FFF2-40B4-BE49-F238E27FC236}">
                  <a16:creationId xmlns:a16="http://schemas.microsoft.com/office/drawing/2014/main" id="{00000000-0008-0000-0100-00003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Přístupné odjinud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365760</xdr:colOff>
          <xdr:row>65</xdr:row>
          <xdr:rowOff>22860</xdr:rowOff>
        </xdr:from>
        <xdr:to>
          <xdr:col>6</xdr:col>
          <xdr:colOff>129540</xdr:colOff>
          <xdr:row>66</xdr:row>
          <xdr:rowOff>83820</xdr:rowOff>
        </xdr:to>
        <xdr:sp macro="" textlink="">
          <xdr:nvSpPr>
            <xdr:cNvPr id="3132" name="Option Button 60" hidden="1">
              <a:extLst>
                <a:ext uri="{63B3BB69-23CF-44E3-9099-C40C66FF867C}">
                  <a14:compatExt spid="_x0000_s3132"/>
                </a:ext>
                <a:ext uri="{FF2B5EF4-FFF2-40B4-BE49-F238E27FC236}">
                  <a16:creationId xmlns:a16="http://schemas.microsoft.com/office/drawing/2014/main" id="{00000000-0008-0000-0100-00003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V místnosti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220980</xdr:colOff>
          <xdr:row>43</xdr:row>
          <xdr:rowOff>30480</xdr:rowOff>
        </xdr:from>
        <xdr:to>
          <xdr:col>7</xdr:col>
          <xdr:colOff>175260</xdr:colOff>
          <xdr:row>47</xdr:row>
          <xdr:rowOff>205740</xdr:rowOff>
        </xdr:to>
        <xdr:sp macro="" textlink="">
          <xdr:nvSpPr>
            <xdr:cNvPr id="3134" name="Group Box 62" hidden="1">
              <a:extLst>
                <a:ext uri="{63B3BB69-23CF-44E3-9099-C40C66FF867C}">
                  <a14:compatExt spid="_x0000_s3134"/>
                </a:ext>
                <a:ext uri="{FF2B5EF4-FFF2-40B4-BE49-F238E27FC236}">
                  <a16:creationId xmlns:a16="http://schemas.microsoft.com/office/drawing/2014/main" id="{00000000-0008-0000-0100-00003E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358140</xdr:colOff>
          <xdr:row>43</xdr:row>
          <xdr:rowOff>152400</xdr:rowOff>
        </xdr:from>
        <xdr:to>
          <xdr:col>6</xdr:col>
          <xdr:colOff>190500</xdr:colOff>
          <xdr:row>45</xdr:row>
          <xdr:rowOff>7620</xdr:rowOff>
        </xdr:to>
        <xdr:sp macro="" textlink="">
          <xdr:nvSpPr>
            <xdr:cNvPr id="3135" name="Option Button 63" hidden="1">
              <a:extLst>
                <a:ext uri="{63B3BB69-23CF-44E3-9099-C40C66FF867C}">
                  <a14:compatExt spid="_x0000_s3135"/>
                </a:ext>
                <a:ext uri="{FF2B5EF4-FFF2-40B4-BE49-F238E27FC236}">
                  <a16:creationId xmlns:a16="http://schemas.microsoft.com/office/drawing/2014/main" id="{00000000-0008-0000-0100-00003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Standard (3) - 1x tlačítko (POWER), 1x HDMI 2.0, 1x USB 3.0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358140</xdr:colOff>
          <xdr:row>44</xdr:row>
          <xdr:rowOff>160020</xdr:rowOff>
        </xdr:from>
        <xdr:to>
          <xdr:col>3</xdr:col>
          <xdr:colOff>434340</xdr:colOff>
          <xdr:row>46</xdr:row>
          <xdr:rowOff>15240</xdr:rowOff>
        </xdr:to>
        <xdr:sp macro="" textlink="">
          <xdr:nvSpPr>
            <xdr:cNvPr id="3136" name="Option Button 64" hidden="1">
              <a:extLst>
                <a:ext uri="{63B3BB69-23CF-44E3-9099-C40C66FF867C}">
                  <a14:compatExt spid="_x0000_s3136"/>
                </a:ext>
                <a:ext uri="{FF2B5EF4-FFF2-40B4-BE49-F238E27FC236}">
                  <a16:creationId xmlns:a16="http://schemas.microsoft.com/office/drawing/2014/main" id="{00000000-0008-0000-0100-00004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Extra výstupní 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312420</xdr:colOff>
          <xdr:row>44</xdr:row>
          <xdr:rowOff>160020</xdr:rowOff>
        </xdr:from>
        <xdr:to>
          <xdr:col>4</xdr:col>
          <xdr:colOff>243840</xdr:colOff>
          <xdr:row>46</xdr:row>
          <xdr:rowOff>15240</xdr:rowOff>
        </xdr:to>
        <xdr:sp macro="" textlink="">
          <xdr:nvSpPr>
            <xdr:cNvPr id="3137" name="Check Box 65" hidden="1">
              <a:extLst>
                <a:ext uri="{63B3BB69-23CF-44E3-9099-C40C66FF867C}">
                  <a14:compatExt spid="_x0000_s3137"/>
                </a:ext>
                <a:ext uri="{FF2B5EF4-FFF2-40B4-BE49-F238E27FC236}">
                  <a16:creationId xmlns:a16="http://schemas.microsoft.com/office/drawing/2014/main" id="{00000000-0008-0000-0100-00004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HDMI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44</xdr:row>
          <xdr:rowOff>167640</xdr:rowOff>
        </xdr:from>
        <xdr:to>
          <xdr:col>5</xdr:col>
          <xdr:colOff>152400</xdr:colOff>
          <xdr:row>46</xdr:row>
          <xdr:rowOff>22860</xdr:rowOff>
        </xdr:to>
        <xdr:sp macro="" textlink="">
          <xdr:nvSpPr>
            <xdr:cNvPr id="3138" name="Check Box 66" hidden="1">
              <a:extLst>
                <a:ext uri="{63B3BB69-23CF-44E3-9099-C40C66FF867C}">
                  <a14:compatExt spid="_x0000_s3138"/>
                </a:ext>
                <a:ext uri="{FF2B5EF4-FFF2-40B4-BE49-F238E27FC236}">
                  <a16:creationId xmlns:a16="http://schemas.microsoft.com/office/drawing/2014/main" id="{00000000-0008-0000-0100-00004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44</xdr:row>
          <xdr:rowOff>160020</xdr:rowOff>
        </xdr:from>
        <xdr:to>
          <xdr:col>5</xdr:col>
          <xdr:colOff>594360</xdr:colOff>
          <xdr:row>46</xdr:row>
          <xdr:rowOff>15240</xdr:rowOff>
        </xdr:to>
        <xdr:sp macro="" textlink="">
          <xdr:nvSpPr>
            <xdr:cNvPr id="3139" name="Check Box 67" hidden="1">
              <a:extLst>
                <a:ext uri="{63B3BB69-23CF-44E3-9099-C40C66FF867C}">
                  <a14:compatExt spid="_x0000_s3139"/>
                </a:ext>
                <a:ext uri="{FF2B5EF4-FFF2-40B4-BE49-F238E27FC236}">
                  <a16:creationId xmlns:a16="http://schemas.microsoft.com/office/drawing/2014/main" id="{00000000-0008-0000-0100-00004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43</xdr:row>
          <xdr:rowOff>22860</xdr:rowOff>
        </xdr:from>
        <xdr:to>
          <xdr:col>10</xdr:col>
          <xdr:colOff>411480</xdr:colOff>
          <xdr:row>47</xdr:row>
          <xdr:rowOff>205740</xdr:rowOff>
        </xdr:to>
        <xdr:sp macro="" textlink="">
          <xdr:nvSpPr>
            <xdr:cNvPr id="3140" name="Group Box 68" hidden="1">
              <a:extLst>
                <a:ext uri="{63B3BB69-23CF-44E3-9099-C40C66FF867C}">
                  <a14:compatExt spid="_x0000_s3140"/>
                </a:ext>
                <a:ext uri="{FF2B5EF4-FFF2-40B4-BE49-F238E27FC236}">
                  <a16:creationId xmlns:a16="http://schemas.microsoft.com/office/drawing/2014/main" id="{00000000-0008-0000-0100-000044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129540</xdr:colOff>
          <xdr:row>43</xdr:row>
          <xdr:rowOff>91440</xdr:rowOff>
        </xdr:from>
        <xdr:to>
          <xdr:col>10</xdr:col>
          <xdr:colOff>236220</xdr:colOff>
          <xdr:row>44</xdr:row>
          <xdr:rowOff>129540</xdr:rowOff>
        </xdr:to>
        <xdr:sp macro="" textlink="">
          <xdr:nvSpPr>
            <xdr:cNvPr id="3141" name="Option Button 69" hidden="1">
              <a:extLst>
                <a:ext uri="{63B3BB69-23CF-44E3-9099-C40C66FF867C}">
                  <a14:compatExt spid="_x0000_s3141"/>
                </a:ext>
                <a:ext uri="{FF2B5EF4-FFF2-40B4-BE49-F238E27FC236}">
                  <a16:creationId xmlns:a16="http://schemas.microsoft.com/office/drawing/2014/main" id="{00000000-0008-0000-0100-00004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Dotykové (standard)</a:t>
              </a:r>
            </a:p>
          </xdr:txBody>
        </xdr:sp>
        <xdr:clientData/>
      </xdr:twoCellAnchor>
    </mc:Choice>
    <mc:Fallback/>
  </mc:AlternateContent>
  <xdr:oneCellAnchor>
    <xdr:from>
      <xdr:col>8</xdr:col>
      <xdr:colOff>260033</xdr:colOff>
      <xdr:row>44</xdr:row>
      <xdr:rowOff>74822</xdr:rowOff>
    </xdr:from>
    <xdr:ext cx="1207770" cy="343960"/>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4959033" y="8298072"/>
          <a:ext cx="1207770" cy="343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Antireflexní, hydrofobní sklo s dotykovou úpravou </a:t>
          </a:r>
          <a:endParaRPr lang="en-US" sz="800">
            <a:solidFill>
              <a:schemeClr val="tx1">
                <a:lumMod val="50000"/>
                <a:lumOff val="50000"/>
              </a:schemeClr>
            </a:solidFill>
            <a:latin typeface="+mn-lt"/>
            <a:ea typeface="+mn-ea"/>
            <a:cs typeface="+mn-cs"/>
          </a:endParaRPr>
        </a:p>
      </xdr:txBody>
    </xdr:sp>
    <xdr:clientData/>
  </xdr:oneCellAnchor>
  <mc:AlternateContent xmlns:mc="http://schemas.openxmlformats.org/markup-compatibility/2006">
    <mc:Choice xmlns:a14="http://schemas.microsoft.com/office/drawing/2010/main" Requires="a14">
      <xdr:twoCellAnchor editAs="oneCell">
        <xdr:from>
          <xdr:col>8</xdr:col>
          <xdr:colOff>121920</xdr:colOff>
          <xdr:row>45</xdr:row>
          <xdr:rowOff>160020</xdr:rowOff>
        </xdr:from>
        <xdr:to>
          <xdr:col>10</xdr:col>
          <xdr:colOff>190500</xdr:colOff>
          <xdr:row>47</xdr:row>
          <xdr:rowOff>15240</xdr:rowOff>
        </xdr:to>
        <xdr:sp macro="" textlink="">
          <xdr:nvSpPr>
            <xdr:cNvPr id="3142" name="Option Button 70" hidden="1">
              <a:extLst>
                <a:ext uri="{63B3BB69-23CF-44E3-9099-C40C66FF867C}">
                  <a14:compatExt spid="_x0000_s3142"/>
                </a:ext>
                <a:ext uri="{FF2B5EF4-FFF2-40B4-BE49-F238E27FC236}">
                  <a16:creationId xmlns:a16="http://schemas.microsoft.com/office/drawing/2014/main" id="{00000000-0008-0000-0100-00004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Obyčejné</a:t>
              </a:r>
            </a:p>
          </xdr:txBody>
        </xdr:sp>
        <xdr:clientData/>
      </xdr:twoCellAnchor>
    </mc:Choice>
    <mc:Fallback/>
  </mc:AlternateContent>
  <xdr:oneCellAnchor>
    <xdr:from>
      <xdr:col>8</xdr:col>
      <xdr:colOff>255059</xdr:colOff>
      <xdr:row>46</xdr:row>
      <xdr:rowOff>132290</xdr:rowOff>
    </xdr:from>
    <xdr:ext cx="1313391" cy="159810"/>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4954059" y="8780990"/>
          <a:ext cx="1313391" cy="159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Extra čiré, větší odlesk</a:t>
          </a:r>
          <a:endParaRPr lang="en-US" sz="800">
            <a:solidFill>
              <a:schemeClr val="tx1">
                <a:lumMod val="50000"/>
                <a:lumOff val="50000"/>
              </a:schemeClr>
            </a:solidFill>
            <a:latin typeface="+mn-lt"/>
            <a:ea typeface="+mn-ea"/>
            <a:cs typeface="+mn-cs"/>
          </a:endParaRPr>
        </a:p>
      </xdr:txBody>
    </xdr:sp>
    <xdr:clientData/>
  </xdr:oneCellAnchor>
  <mc:AlternateContent xmlns:mc="http://schemas.openxmlformats.org/markup-compatibility/2006">
    <mc:Choice xmlns:a14="http://schemas.microsoft.com/office/drawing/2010/main" Requires="a14">
      <xdr:twoCellAnchor editAs="oneCell">
        <xdr:from>
          <xdr:col>8</xdr:col>
          <xdr:colOff>15240</xdr:colOff>
          <xdr:row>49</xdr:row>
          <xdr:rowOff>60960</xdr:rowOff>
        </xdr:from>
        <xdr:to>
          <xdr:col>10</xdr:col>
          <xdr:colOff>403860</xdr:colOff>
          <xdr:row>64</xdr:row>
          <xdr:rowOff>121920</xdr:rowOff>
        </xdr:to>
        <xdr:sp macro="" textlink="">
          <xdr:nvSpPr>
            <xdr:cNvPr id="3143" name="Group Box 71" hidden="1">
              <a:extLst>
                <a:ext uri="{63B3BB69-23CF-44E3-9099-C40C66FF867C}">
                  <a14:compatExt spid="_x0000_s3143"/>
                </a:ext>
                <a:ext uri="{FF2B5EF4-FFF2-40B4-BE49-F238E27FC236}">
                  <a16:creationId xmlns:a16="http://schemas.microsoft.com/office/drawing/2014/main" id="{00000000-0008-0000-0100-00004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50</xdr:row>
          <xdr:rowOff>60960</xdr:rowOff>
        </xdr:from>
        <xdr:to>
          <xdr:col>10</xdr:col>
          <xdr:colOff>198120</xdr:colOff>
          <xdr:row>51</xdr:row>
          <xdr:rowOff>76200</xdr:rowOff>
        </xdr:to>
        <xdr:sp macro="" textlink="">
          <xdr:nvSpPr>
            <xdr:cNvPr id="3144" name="Option Button 72" hidden="1">
              <a:extLst>
                <a:ext uri="{63B3BB69-23CF-44E3-9099-C40C66FF867C}">
                  <a14:compatExt spid="_x0000_s3144"/>
                </a:ext>
                <a:ext uri="{FF2B5EF4-FFF2-40B4-BE49-F238E27FC236}">
                  <a16:creationId xmlns:a16="http://schemas.microsoft.com/office/drawing/2014/main" id="{00000000-0008-0000-0100-00004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Standard - černý rámeček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83820</xdr:colOff>
          <xdr:row>51</xdr:row>
          <xdr:rowOff>38100</xdr:rowOff>
        </xdr:from>
        <xdr:to>
          <xdr:col>10</xdr:col>
          <xdr:colOff>312420</xdr:colOff>
          <xdr:row>52</xdr:row>
          <xdr:rowOff>129540</xdr:rowOff>
        </xdr:to>
        <xdr:sp macro="" textlink="">
          <xdr:nvSpPr>
            <xdr:cNvPr id="3147" name="Option Button 75" hidden="1">
              <a:extLst>
                <a:ext uri="{63B3BB69-23CF-44E3-9099-C40C66FF867C}">
                  <a14:compatExt spid="_x0000_s3147"/>
                </a:ext>
                <a:ext uri="{FF2B5EF4-FFF2-40B4-BE49-F238E27FC236}">
                  <a16:creationId xmlns:a16="http://schemas.microsoft.com/office/drawing/2014/main" id="{00000000-0008-0000-0100-00004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Standard - mléčný rámeček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52</xdr:row>
          <xdr:rowOff>106680</xdr:rowOff>
        </xdr:from>
        <xdr:to>
          <xdr:col>10</xdr:col>
          <xdr:colOff>312420</xdr:colOff>
          <xdr:row>53</xdr:row>
          <xdr:rowOff>137160</xdr:rowOff>
        </xdr:to>
        <xdr:sp macro="" textlink="">
          <xdr:nvSpPr>
            <xdr:cNvPr id="3148" name="Option Button 76" hidden="1">
              <a:extLst>
                <a:ext uri="{63B3BB69-23CF-44E3-9099-C40C66FF867C}">
                  <a14:compatExt spid="_x0000_s3148"/>
                </a:ext>
                <a:ext uri="{FF2B5EF4-FFF2-40B4-BE49-F238E27FC236}">
                  <a16:creationId xmlns:a16="http://schemas.microsoft.com/office/drawing/2014/main" id="{00000000-0008-0000-0100-00004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Barva rámečku dle výběru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54</xdr:row>
          <xdr:rowOff>91440</xdr:rowOff>
        </xdr:from>
        <xdr:to>
          <xdr:col>10</xdr:col>
          <xdr:colOff>297180</xdr:colOff>
          <xdr:row>56</xdr:row>
          <xdr:rowOff>7620</xdr:rowOff>
        </xdr:to>
        <xdr:sp macro="" textlink="">
          <xdr:nvSpPr>
            <xdr:cNvPr id="3149" name="Option Button 77" hidden="1">
              <a:extLst>
                <a:ext uri="{63B3BB69-23CF-44E3-9099-C40C66FF867C}">
                  <a14:compatExt spid="_x0000_s3149"/>
                </a:ext>
                <a:ext uri="{FF2B5EF4-FFF2-40B4-BE49-F238E27FC236}">
                  <a16:creationId xmlns:a16="http://schemas.microsoft.com/office/drawing/2014/main" id="{00000000-0008-0000-0100-00004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Jakýkoli jiný design rámečku</a:t>
              </a:r>
            </a:p>
          </xdr:txBody>
        </xdr:sp>
        <xdr:clientData/>
      </xdr:twoCellAnchor>
    </mc:Choice>
    <mc:Fallback/>
  </mc:AlternateContent>
  <xdr:oneCellAnchor>
    <xdr:from>
      <xdr:col>8</xdr:col>
      <xdr:colOff>204259</xdr:colOff>
      <xdr:row>55</xdr:row>
      <xdr:rowOff>106890</xdr:rowOff>
    </xdr:from>
    <xdr:ext cx="1313391" cy="343960"/>
    <xdr:sp macro="" textlink="">
      <xdr:nvSpPr>
        <xdr:cNvPr id="96" name="TextBox 95">
          <a:extLst>
            <a:ext uri="{FF2B5EF4-FFF2-40B4-BE49-F238E27FC236}">
              <a16:creationId xmlns:a16="http://schemas.microsoft.com/office/drawing/2014/main" id="{00000000-0008-0000-0100-000060000000}"/>
            </a:ext>
          </a:extLst>
        </xdr:cNvPr>
        <xdr:cNvSpPr txBox="1"/>
      </xdr:nvSpPr>
      <xdr:spPr>
        <a:xfrm>
          <a:off x="4903259" y="10806640"/>
          <a:ext cx="1313391" cy="343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Rámeček může zahrnovat logo, design dodá klient</a:t>
          </a:r>
          <a:endParaRPr lang="en-US" sz="800">
            <a:solidFill>
              <a:schemeClr val="tx1">
                <a:lumMod val="50000"/>
                <a:lumOff val="50000"/>
              </a:schemeClr>
            </a:solidFill>
            <a:latin typeface="+mn-lt"/>
            <a:ea typeface="+mn-ea"/>
            <a:cs typeface="+mn-cs"/>
          </a:endParaRPr>
        </a:p>
      </xdr:txBody>
    </xdr:sp>
    <xdr:clientData/>
  </xdr:oneCellAnchor>
  <mc:AlternateContent xmlns:mc="http://schemas.openxmlformats.org/markup-compatibility/2006">
    <mc:Choice xmlns:a14="http://schemas.microsoft.com/office/drawing/2010/main" Requires="a14">
      <xdr:twoCellAnchor editAs="oneCell">
        <xdr:from>
          <xdr:col>8</xdr:col>
          <xdr:colOff>106680</xdr:colOff>
          <xdr:row>59</xdr:row>
          <xdr:rowOff>22860</xdr:rowOff>
        </xdr:from>
        <xdr:to>
          <xdr:col>10</xdr:col>
          <xdr:colOff>83820</xdr:colOff>
          <xdr:row>60</xdr:row>
          <xdr:rowOff>15240</xdr:rowOff>
        </xdr:to>
        <xdr:sp macro="" textlink="">
          <xdr:nvSpPr>
            <xdr:cNvPr id="3150" name="Check Box 78" hidden="1">
              <a:extLst>
                <a:ext uri="{63B3BB69-23CF-44E3-9099-C40C66FF867C}">
                  <a14:compatExt spid="_x0000_s3150"/>
                </a:ext>
                <a:ext uri="{FF2B5EF4-FFF2-40B4-BE49-F238E27FC236}">
                  <a16:creationId xmlns:a16="http://schemas.microsoft.com/office/drawing/2014/main" id="{00000000-0008-0000-0100-00004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Vizualizace</a:t>
              </a:r>
            </a:p>
          </xdr:txBody>
        </xdr:sp>
        <xdr:clientData/>
      </xdr:twoCellAnchor>
    </mc:Choice>
    <mc:Fallback/>
  </mc:AlternateContent>
  <xdr:oneCellAnchor>
    <xdr:from>
      <xdr:col>8</xdr:col>
      <xdr:colOff>229659</xdr:colOff>
      <xdr:row>59</xdr:row>
      <xdr:rowOff>170390</xdr:rowOff>
    </xdr:from>
    <xdr:ext cx="1313391" cy="712260"/>
    <xdr:sp macro="" textlink="">
      <xdr:nvSpPr>
        <xdr:cNvPr id="98" name="TextBox 97">
          <a:extLst>
            <a:ext uri="{FF2B5EF4-FFF2-40B4-BE49-F238E27FC236}">
              <a16:creationId xmlns:a16="http://schemas.microsoft.com/office/drawing/2014/main" id="{00000000-0008-0000-0100-000062000000}"/>
            </a:ext>
          </a:extLst>
        </xdr:cNvPr>
        <xdr:cNvSpPr txBox="1"/>
      </xdr:nvSpPr>
      <xdr:spPr>
        <a:xfrm>
          <a:off x="4928659" y="11543240"/>
          <a:ext cx="1313391" cy="712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Vizualizace modulu,</a:t>
          </a:r>
          <a:r>
            <a:rPr lang="cs-CZ" sz="800" baseline="0">
              <a:solidFill>
                <a:schemeClr val="tx1">
                  <a:lumMod val="50000"/>
                  <a:lumOff val="50000"/>
                </a:schemeClr>
              </a:solidFill>
            </a:rPr>
            <a:t> včetně okolních příček, s designem rámečku na základě loga nebo motivu dodaného zákazníkem</a:t>
          </a:r>
          <a:endParaRPr lang="en-US" sz="800">
            <a:solidFill>
              <a:schemeClr val="tx1">
                <a:lumMod val="50000"/>
                <a:lumOff val="50000"/>
              </a:schemeClr>
            </a:solidFill>
            <a:latin typeface="+mn-lt"/>
            <a:ea typeface="+mn-ea"/>
            <a:cs typeface="+mn-cs"/>
          </a:endParaRPr>
        </a:p>
      </xdr:txBody>
    </xdr:sp>
    <xdr:clientData/>
  </xdr:oneCellAnchor>
  <mc:AlternateContent xmlns:mc="http://schemas.openxmlformats.org/markup-compatibility/2006">
    <mc:Choice xmlns:a14="http://schemas.microsoft.com/office/drawing/2010/main" Requires="a14">
      <xdr:twoCellAnchor editAs="oneCell">
        <xdr:from>
          <xdr:col>8</xdr:col>
          <xdr:colOff>30480</xdr:colOff>
          <xdr:row>67</xdr:row>
          <xdr:rowOff>53340</xdr:rowOff>
        </xdr:from>
        <xdr:to>
          <xdr:col>10</xdr:col>
          <xdr:colOff>403860</xdr:colOff>
          <xdr:row>75</xdr:row>
          <xdr:rowOff>137160</xdr:rowOff>
        </xdr:to>
        <xdr:sp macro="" textlink="">
          <xdr:nvSpPr>
            <xdr:cNvPr id="3151" name="Group Box 79" hidden="1">
              <a:extLst>
                <a:ext uri="{63B3BB69-23CF-44E3-9099-C40C66FF867C}">
                  <a14:compatExt spid="_x0000_s3151"/>
                </a:ext>
                <a:ext uri="{FF2B5EF4-FFF2-40B4-BE49-F238E27FC236}">
                  <a16:creationId xmlns:a16="http://schemas.microsoft.com/office/drawing/2014/main" id="{00000000-0008-0000-0100-00004F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Obecné</a:t>
              </a:r>
            </a:p>
          </xdr:txBody>
        </xdr:sp>
        <xdr:clientData/>
      </xdr:twoCellAnchor>
    </mc:Choice>
    <mc:Fallback/>
  </mc:AlternateContent>
  <xdr:oneCellAnchor>
    <xdr:from>
      <xdr:col>8</xdr:col>
      <xdr:colOff>144145</xdr:colOff>
      <xdr:row>68</xdr:row>
      <xdr:rowOff>91440</xdr:rowOff>
    </xdr:from>
    <xdr:ext cx="1313391" cy="1305560"/>
    <xdr:sp macro="" textlink="">
      <xdr:nvSpPr>
        <xdr:cNvPr id="103" name="TextBox 102">
          <a:extLst>
            <a:ext uri="{FF2B5EF4-FFF2-40B4-BE49-F238E27FC236}">
              <a16:creationId xmlns:a16="http://schemas.microsoft.com/office/drawing/2014/main" id="{00000000-0008-0000-0100-000067000000}"/>
            </a:ext>
          </a:extLst>
        </xdr:cNvPr>
        <xdr:cNvSpPr txBox="1"/>
      </xdr:nvSpPr>
      <xdr:spPr>
        <a:xfrm>
          <a:off x="4843145" y="13021628"/>
          <a:ext cx="1313391" cy="1305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latin typeface="+mn-lt"/>
              <a:ea typeface="+mn-ea"/>
              <a:cs typeface="+mn-cs"/>
            </a:rPr>
            <a:t>Moduly</a:t>
          </a:r>
          <a:r>
            <a:rPr lang="cs-CZ" sz="800" baseline="0">
              <a:solidFill>
                <a:schemeClr val="tx1">
                  <a:lumMod val="50000"/>
                  <a:lumOff val="50000"/>
                </a:schemeClr>
              </a:solidFill>
              <a:latin typeface="+mn-lt"/>
              <a:ea typeface="+mn-ea"/>
              <a:cs typeface="+mn-cs"/>
            </a:rPr>
            <a:t> sousedící se SMART-i-WALL mohou být prosklené a neprůhledné.</a:t>
          </a:r>
        </a:p>
        <a:p>
          <a:endParaRPr lang="cs-CZ" sz="800" baseline="0">
            <a:solidFill>
              <a:schemeClr val="tx1">
                <a:lumMod val="50000"/>
                <a:lumOff val="50000"/>
              </a:schemeClr>
            </a:solidFill>
            <a:latin typeface="+mn-lt"/>
            <a:ea typeface="+mn-ea"/>
            <a:cs typeface="+mn-cs"/>
          </a:endParaRPr>
        </a:p>
        <a:p>
          <a:r>
            <a:rPr lang="cs-CZ" sz="800" baseline="0">
              <a:solidFill>
                <a:schemeClr val="tx1">
                  <a:lumMod val="50000"/>
                  <a:lumOff val="50000"/>
                </a:schemeClr>
              </a:solidFill>
              <a:latin typeface="+mn-lt"/>
              <a:ea typeface="+mn-ea"/>
              <a:cs typeface="+mn-cs"/>
            </a:rPr>
            <a:t>Doporučujeme zvážit okolní skleněné plochy ve stejné barvě jako rámeček, popřípadě s antireflexní úpravou. </a:t>
          </a:r>
          <a:endParaRPr lang="en-US" sz="800">
            <a:solidFill>
              <a:schemeClr val="tx1">
                <a:lumMod val="50000"/>
                <a:lumOff val="50000"/>
              </a:schemeClr>
            </a:solidFill>
            <a:latin typeface="+mn-lt"/>
            <a:ea typeface="+mn-ea"/>
            <a:cs typeface="+mn-cs"/>
          </a:endParaRPr>
        </a:p>
      </xdr:txBody>
    </xdr:sp>
    <xdr:clientData/>
  </xdr:oneCellAnchor>
  <mc:AlternateContent xmlns:mc="http://schemas.openxmlformats.org/markup-compatibility/2006">
    <mc:Choice xmlns:a14="http://schemas.microsoft.com/office/drawing/2010/main" Requires="a14">
      <xdr:twoCellAnchor editAs="oneCell">
        <xdr:from>
          <xdr:col>1</xdr:col>
          <xdr:colOff>236220</xdr:colOff>
          <xdr:row>22</xdr:row>
          <xdr:rowOff>15240</xdr:rowOff>
        </xdr:from>
        <xdr:to>
          <xdr:col>4</xdr:col>
          <xdr:colOff>510540</xdr:colOff>
          <xdr:row>29</xdr:row>
          <xdr:rowOff>152400</xdr:rowOff>
        </xdr:to>
        <xdr:sp macro="" textlink="">
          <xdr:nvSpPr>
            <xdr:cNvPr id="3156" name="Group Box 84" hidden="1">
              <a:extLst>
                <a:ext uri="{63B3BB69-23CF-44E3-9099-C40C66FF867C}">
                  <a14:compatExt spid="_x0000_s3156"/>
                </a:ext>
                <a:ext uri="{FF2B5EF4-FFF2-40B4-BE49-F238E27FC236}">
                  <a16:creationId xmlns:a16="http://schemas.microsoft.com/office/drawing/2014/main" id="{00000000-0008-0000-0100-000054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137160</xdr:colOff>
          <xdr:row>0</xdr:row>
          <xdr:rowOff>22860</xdr:rowOff>
        </xdr:from>
        <xdr:to>
          <xdr:col>10</xdr:col>
          <xdr:colOff>586740</xdr:colOff>
          <xdr:row>1</xdr:row>
          <xdr:rowOff>60960</xdr:rowOff>
        </xdr:to>
        <xdr:sp macro="" textlink="">
          <xdr:nvSpPr>
            <xdr:cNvPr id="3157" name="Button 85" hidden="1">
              <a:extLst>
                <a:ext uri="{63B3BB69-23CF-44E3-9099-C40C66FF867C}">
                  <a14:compatExt spid="_x0000_s3157"/>
                </a:ext>
                <a:ext uri="{FF2B5EF4-FFF2-40B4-BE49-F238E27FC236}">
                  <a16:creationId xmlns:a16="http://schemas.microsoft.com/office/drawing/2014/main" id="{00000000-0008-0000-0100-00005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Začít znovu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39</xdr:row>
          <xdr:rowOff>30480</xdr:rowOff>
        </xdr:from>
        <xdr:to>
          <xdr:col>10</xdr:col>
          <xdr:colOff>190500</xdr:colOff>
          <xdr:row>40</xdr:row>
          <xdr:rowOff>68580</xdr:rowOff>
        </xdr:to>
        <xdr:sp macro="" textlink="">
          <xdr:nvSpPr>
            <xdr:cNvPr id="3158" name="Option Button 86" hidden="1">
              <a:extLst>
                <a:ext uri="{63B3BB69-23CF-44E3-9099-C40C66FF867C}">
                  <a14:compatExt spid="_x0000_s3158"/>
                </a:ext>
                <a:ext uri="{FF2B5EF4-FFF2-40B4-BE49-F238E27FC236}">
                  <a16:creationId xmlns:a16="http://schemas.microsoft.com/office/drawing/2014/main" id="{00000000-0008-0000-0100-00005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Obě dvě možnosti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289560</xdr:colOff>
          <xdr:row>56</xdr:row>
          <xdr:rowOff>53340</xdr:rowOff>
        </xdr:from>
        <xdr:to>
          <xdr:col>5</xdr:col>
          <xdr:colOff>53340</xdr:colOff>
          <xdr:row>57</xdr:row>
          <xdr:rowOff>121920</xdr:rowOff>
        </xdr:to>
        <xdr:sp macro="" textlink="">
          <xdr:nvSpPr>
            <xdr:cNvPr id="3164" name="Check Box 92" hidden="1">
              <a:extLst>
                <a:ext uri="{63B3BB69-23CF-44E3-9099-C40C66FF867C}">
                  <a14:compatExt spid="_x0000_s3164"/>
                </a:ext>
                <a:ext uri="{FF2B5EF4-FFF2-40B4-BE49-F238E27FC236}">
                  <a16:creationId xmlns:a16="http://schemas.microsoft.com/office/drawing/2014/main" id="{00000000-0008-0000-0100-00005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5m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251460</xdr:colOff>
          <xdr:row>56</xdr:row>
          <xdr:rowOff>53340</xdr:rowOff>
        </xdr:from>
        <xdr:to>
          <xdr:col>7</xdr:col>
          <xdr:colOff>53340</xdr:colOff>
          <xdr:row>57</xdr:row>
          <xdr:rowOff>121920</xdr:rowOff>
        </xdr:to>
        <xdr:sp macro="" textlink="">
          <xdr:nvSpPr>
            <xdr:cNvPr id="3167" name="Check Box 95" hidden="1">
              <a:extLst>
                <a:ext uri="{63B3BB69-23CF-44E3-9099-C40C66FF867C}">
                  <a14:compatExt spid="_x0000_s3167"/>
                </a:ext>
                <a:ext uri="{FF2B5EF4-FFF2-40B4-BE49-F238E27FC236}">
                  <a16:creationId xmlns:a16="http://schemas.microsoft.com/office/drawing/2014/main" id="{00000000-0008-0000-0100-00005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20m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441960</xdr:colOff>
          <xdr:row>56</xdr:row>
          <xdr:rowOff>53340</xdr:rowOff>
        </xdr:from>
        <xdr:to>
          <xdr:col>6</xdr:col>
          <xdr:colOff>243840</xdr:colOff>
          <xdr:row>57</xdr:row>
          <xdr:rowOff>121920</xdr:rowOff>
        </xdr:to>
        <xdr:sp macro="" textlink="">
          <xdr:nvSpPr>
            <xdr:cNvPr id="3174" name="Check Box 102" hidden="1">
              <a:extLst>
                <a:ext uri="{63B3BB69-23CF-44E3-9099-C40C66FF867C}">
                  <a14:compatExt spid="_x0000_s3174"/>
                </a:ext>
                <a:ext uri="{FF2B5EF4-FFF2-40B4-BE49-F238E27FC236}">
                  <a16:creationId xmlns:a16="http://schemas.microsoft.com/office/drawing/2014/main" id="{00000000-0008-0000-0100-00006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15m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56</xdr:row>
          <xdr:rowOff>53340</xdr:rowOff>
        </xdr:from>
        <xdr:to>
          <xdr:col>5</xdr:col>
          <xdr:colOff>472440</xdr:colOff>
          <xdr:row>57</xdr:row>
          <xdr:rowOff>121920</xdr:rowOff>
        </xdr:to>
        <xdr:sp macro="" textlink="">
          <xdr:nvSpPr>
            <xdr:cNvPr id="3175" name="Check Box 103" hidden="1">
              <a:extLst>
                <a:ext uri="{63B3BB69-23CF-44E3-9099-C40C66FF867C}">
                  <a14:compatExt spid="_x0000_s3175"/>
                </a:ext>
                <a:ext uri="{FF2B5EF4-FFF2-40B4-BE49-F238E27FC236}">
                  <a16:creationId xmlns:a16="http://schemas.microsoft.com/office/drawing/2014/main" id="{00000000-0008-0000-0100-00006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10m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251460</xdr:colOff>
          <xdr:row>55</xdr:row>
          <xdr:rowOff>7620</xdr:rowOff>
        </xdr:from>
        <xdr:to>
          <xdr:col>7</xdr:col>
          <xdr:colOff>53340</xdr:colOff>
          <xdr:row>56</xdr:row>
          <xdr:rowOff>83820</xdr:rowOff>
        </xdr:to>
        <xdr:sp macro="" textlink="">
          <xdr:nvSpPr>
            <xdr:cNvPr id="3181" name="Check Box 109" hidden="1">
              <a:extLst>
                <a:ext uri="{63B3BB69-23CF-44E3-9099-C40C66FF867C}">
                  <a14:compatExt spid="_x0000_s3181"/>
                </a:ext>
                <a:ext uri="{FF2B5EF4-FFF2-40B4-BE49-F238E27FC236}">
                  <a16:creationId xmlns:a16="http://schemas.microsoft.com/office/drawing/2014/main" id="{00000000-0008-0000-0100-00006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20m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441960</xdr:colOff>
          <xdr:row>55</xdr:row>
          <xdr:rowOff>15240</xdr:rowOff>
        </xdr:from>
        <xdr:to>
          <xdr:col>6</xdr:col>
          <xdr:colOff>243840</xdr:colOff>
          <xdr:row>56</xdr:row>
          <xdr:rowOff>83820</xdr:rowOff>
        </xdr:to>
        <xdr:sp macro="" textlink="">
          <xdr:nvSpPr>
            <xdr:cNvPr id="3182" name="Check Box 110" hidden="1">
              <a:extLst>
                <a:ext uri="{63B3BB69-23CF-44E3-9099-C40C66FF867C}">
                  <a14:compatExt spid="_x0000_s3182"/>
                </a:ext>
                <a:ext uri="{FF2B5EF4-FFF2-40B4-BE49-F238E27FC236}">
                  <a16:creationId xmlns:a16="http://schemas.microsoft.com/office/drawing/2014/main" id="{00000000-0008-0000-0100-00006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15m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55</xdr:row>
          <xdr:rowOff>15240</xdr:rowOff>
        </xdr:from>
        <xdr:to>
          <xdr:col>5</xdr:col>
          <xdr:colOff>472440</xdr:colOff>
          <xdr:row>56</xdr:row>
          <xdr:rowOff>60960</xdr:rowOff>
        </xdr:to>
        <xdr:sp macro="" textlink="">
          <xdr:nvSpPr>
            <xdr:cNvPr id="3183" name="Check Box 111" hidden="1">
              <a:extLst>
                <a:ext uri="{63B3BB69-23CF-44E3-9099-C40C66FF867C}">
                  <a14:compatExt spid="_x0000_s3183"/>
                </a:ext>
                <a:ext uri="{FF2B5EF4-FFF2-40B4-BE49-F238E27FC236}">
                  <a16:creationId xmlns:a16="http://schemas.microsoft.com/office/drawing/2014/main" id="{00000000-0008-0000-0100-00006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10m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289560</xdr:colOff>
          <xdr:row>55</xdr:row>
          <xdr:rowOff>7620</xdr:rowOff>
        </xdr:from>
        <xdr:to>
          <xdr:col>5</xdr:col>
          <xdr:colOff>53340</xdr:colOff>
          <xdr:row>56</xdr:row>
          <xdr:rowOff>91440</xdr:rowOff>
        </xdr:to>
        <xdr:sp macro="" textlink="">
          <xdr:nvSpPr>
            <xdr:cNvPr id="3180" name="Check Box 108" hidden="1">
              <a:extLst>
                <a:ext uri="{63B3BB69-23CF-44E3-9099-C40C66FF867C}">
                  <a14:compatExt spid="_x0000_s3180"/>
                </a:ext>
                <a:ext uri="{FF2B5EF4-FFF2-40B4-BE49-F238E27FC236}">
                  <a16:creationId xmlns:a16="http://schemas.microsoft.com/office/drawing/2014/main" id="{00000000-0008-0000-0100-00006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5m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251460</xdr:colOff>
          <xdr:row>53</xdr:row>
          <xdr:rowOff>281940</xdr:rowOff>
        </xdr:from>
        <xdr:to>
          <xdr:col>7</xdr:col>
          <xdr:colOff>53340</xdr:colOff>
          <xdr:row>55</xdr:row>
          <xdr:rowOff>30480</xdr:rowOff>
        </xdr:to>
        <xdr:sp macro="" textlink="">
          <xdr:nvSpPr>
            <xdr:cNvPr id="3185" name="Check Box 113" hidden="1">
              <a:extLst>
                <a:ext uri="{63B3BB69-23CF-44E3-9099-C40C66FF867C}">
                  <a14:compatExt spid="_x0000_s3185"/>
                </a:ext>
                <a:ext uri="{FF2B5EF4-FFF2-40B4-BE49-F238E27FC236}">
                  <a16:creationId xmlns:a16="http://schemas.microsoft.com/office/drawing/2014/main" id="{00000000-0008-0000-0100-00007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20m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441960</xdr:colOff>
          <xdr:row>53</xdr:row>
          <xdr:rowOff>281940</xdr:rowOff>
        </xdr:from>
        <xdr:to>
          <xdr:col>6</xdr:col>
          <xdr:colOff>243840</xdr:colOff>
          <xdr:row>55</xdr:row>
          <xdr:rowOff>7620</xdr:rowOff>
        </xdr:to>
        <xdr:sp macro="" textlink="">
          <xdr:nvSpPr>
            <xdr:cNvPr id="3186" name="Check Box 114" hidden="1">
              <a:extLst>
                <a:ext uri="{63B3BB69-23CF-44E3-9099-C40C66FF867C}">
                  <a14:compatExt spid="_x0000_s3186"/>
                </a:ext>
                <a:ext uri="{FF2B5EF4-FFF2-40B4-BE49-F238E27FC236}">
                  <a16:creationId xmlns:a16="http://schemas.microsoft.com/office/drawing/2014/main" id="{00000000-0008-0000-0100-00007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15m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53</xdr:row>
          <xdr:rowOff>281940</xdr:rowOff>
        </xdr:from>
        <xdr:to>
          <xdr:col>5</xdr:col>
          <xdr:colOff>472440</xdr:colOff>
          <xdr:row>55</xdr:row>
          <xdr:rowOff>7620</xdr:rowOff>
        </xdr:to>
        <xdr:sp macro="" textlink="">
          <xdr:nvSpPr>
            <xdr:cNvPr id="3187" name="Check Box 115" hidden="1">
              <a:extLst>
                <a:ext uri="{63B3BB69-23CF-44E3-9099-C40C66FF867C}">
                  <a14:compatExt spid="_x0000_s3187"/>
                </a:ext>
                <a:ext uri="{FF2B5EF4-FFF2-40B4-BE49-F238E27FC236}">
                  <a16:creationId xmlns:a16="http://schemas.microsoft.com/office/drawing/2014/main" id="{00000000-0008-0000-0100-00007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10m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289560</xdr:colOff>
          <xdr:row>53</xdr:row>
          <xdr:rowOff>281940</xdr:rowOff>
        </xdr:from>
        <xdr:to>
          <xdr:col>5</xdr:col>
          <xdr:colOff>53340</xdr:colOff>
          <xdr:row>55</xdr:row>
          <xdr:rowOff>30480</xdr:rowOff>
        </xdr:to>
        <xdr:sp macro="" textlink="">
          <xdr:nvSpPr>
            <xdr:cNvPr id="3184" name="Check Box 112" hidden="1">
              <a:extLst>
                <a:ext uri="{63B3BB69-23CF-44E3-9099-C40C66FF867C}">
                  <a14:compatExt spid="_x0000_s3184"/>
                </a:ext>
                <a:ext uri="{FF2B5EF4-FFF2-40B4-BE49-F238E27FC236}">
                  <a16:creationId xmlns:a16="http://schemas.microsoft.com/office/drawing/2014/main" id="{00000000-0008-0000-0100-00007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5m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220980</xdr:colOff>
          <xdr:row>71</xdr:row>
          <xdr:rowOff>76200</xdr:rowOff>
        </xdr:from>
        <xdr:to>
          <xdr:col>7</xdr:col>
          <xdr:colOff>167640</xdr:colOff>
          <xdr:row>75</xdr:row>
          <xdr:rowOff>152400</xdr:rowOff>
        </xdr:to>
        <xdr:sp macro="" textlink="">
          <xdr:nvSpPr>
            <xdr:cNvPr id="3188" name="Group Box 116" hidden="1">
              <a:extLst>
                <a:ext uri="{63B3BB69-23CF-44E3-9099-C40C66FF867C}">
                  <a14:compatExt spid="_x0000_s3188"/>
                </a:ext>
                <a:ext uri="{FF2B5EF4-FFF2-40B4-BE49-F238E27FC236}">
                  <a16:creationId xmlns:a16="http://schemas.microsoft.com/office/drawing/2014/main" id="{00000000-0008-0000-0100-000074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358140</xdr:colOff>
          <xdr:row>71</xdr:row>
          <xdr:rowOff>152400</xdr:rowOff>
        </xdr:from>
        <xdr:to>
          <xdr:col>3</xdr:col>
          <xdr:colOff>205740</xdr:colOff>
          <xdr:row>73</xdr:row>
          <xdr:rowOff>15240</xdr:rowOff>
        </xdr:to>
        <xdr:sp macro="" textlink="">
          <xdr:nvSpPr>
            <xdr:cNvPr id="3189" name="Option Button 117" hidden="1">
              <a:extLst>
                <a:ext uri="{63B3BB69-23CF-44E3-9099-C40C66FF867C}">
                  <a14:compatExt spid="_x0000_s3189"/>
                </a:ext>
                <a:ext uri="{FF2B5EF4-FFF2-40B4-BE49-F238E27FC236}">
                  <a16:creationId xmlns:a16="http://schemas.microsoft.com/office/drawing/2014/main" id="{00000000-0008-0000-0100-00007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Integrovaná</a:t>
              </a:r>
            </a:p>
          </xdr:txBody>
        </xdr:sp>
        <xdr:clientData/>
      </xdr:twoCellAnchor>
    </mc:Choice>
    <mc:Fallback/>
  </mc:AlternateContent>
  <xdr:twoCellAnchor>
    <xdr:from>
      <xdr:col>1</xdr:col>
      <xdr:colOff>471489</xdr:colOff>
      <xdr:row>72</xdr:row>
      <xdr:rowOff>145969</xdr:rowOff>
    </xdr:from>
    <xdr:to>
      <xdr:col>3</xdr:col>
      <xdr:colOff>178752</xdr:colOff>
      <xdr:row>74</xdr:row>
      <xdr:rowOff>166371</xdr:rowOff>
    </xdr:to>
    <xdr:sp macro="" textlink="">
      <xdr:nvSpPr>
        <xdr:cNvPr id="91" name="TextBox 90">
          <a:extLst>
            <a:ext uri="{FF2B5EF4-FFF2-40B4-BE49-F238E27FC236}">
              <a16:creationId xmlns:a16="http://schemas.microsoft.com/office/drawing/2014/main" id="{00000000-0008-0000-0100-00005B000000}"/>
            </a:ext>
          </a:extLst>
        </xdr:cNvPr>
        <xdr:cNvSpPr txBox="1"/>
      </xdr:nvSpPr>
      <xdr:spPr>
        <a:xfrm>
          <a:off x="1082677" y="13877844"/>
          <a:ext cx="929638" cy="3855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Logitech</a:t>
          </a:r>
          <a:r>
            <a:rPr lang="cs-CZ" sz="800" baseline="0">
              <a:solidFill>
                <a:schemeClr val="tx1">
                  <a:lumMod val="50000"/>
                  <a:lumOff val="50000"/>
                </a:schemeClr>
              </a:solidFill>
            </a:rPr>
            <a:t> MeetUp ve skle (standard)</a:t>
          </a:r>
          <a:endParaRPr lang="en-US" sz="800">
            <a:solidFill>
              <a:schemeClr val="tx1">
                <a:lumMod val="50000"/>
                <a:lumOff val="50000"/>
              </a:schemeClr>
            </a:solidFill>
            <a:latin typeface="+mn-lt"/>
            <a:ea typeface="+mn-ea"/>
            <a:cs typeface="+mn-cs"/>
          </a:endParaRPr>
        </a:p>
      </xdr:txBody>
    </xdr:sp>
    <xdr:clientData/>
  </xdr:twoCellAnchor>
  <xdr:twoCellAnchor>
    <xdr:from>
      <xdr:col>3</xdr:col>
      <xdr:colOff>480693</xdr:colOff>
      <xdr:row>72</xdr:row>
      <xdr:rowOff>167558</xdr:rowOff>
    </xdr:from>
    <xdr:to>
      <xdr:col>5</xdr:col>
      <xdr:colOff>348930</xdr:colOff>
      <xdr:row>75</xdr:row>
      <xdr:rowOff>166687</xdr:rowOff>
    </xdr:to>
    <xdr:sp macro="" textlink="">
      <xdr:nvSpPr>
        <xdr:cNvPr id="93" name="TextBox 92">
          <a:extLst>
            <a:ext uri="{FF2B5EF4-FFF2-40B4-BE49-F238E27FC236}">
              <a16:creationId xmlns:a16="http://schemas.microsoft.com/office/drawing/2014/main" id="{00000000-0008-0000-0100-00005D000000}"/>
            </a:ext>
          </a:extLst>
        </xdr:cNvPr>
        <xdr:cNvSpPr txBox="1"/>
      </xdr:nvSpPr>
      <xdr:spPr>
        <a:xfrm>
          <a:off x="2314256" y="13899433"/>
          <a:ext cx="1074737" cy="5468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Owl 360 conference</a:t>
          </a:r>
          <a:r>
            <a:rPr lang="cs-CZ" sz="800" baseline="0">
              <a:solidFill>
                <a:schemeClr val="tx1">
                  <a:lumMod val="50000"/>
                  <a:lumOff val="50000"/>
                </a:schemeClr>
              </a:solidFill>
            </a:rPr>
            <a:t> camera, nutno zajistit přívod kabelů</a:t>
          </a:r>
          <a:endParaRPr lang="en-US" sz="800">
            <a:solidFill>
              <a:schemeClr val="tx1">
                <a:lumMod val="50000"/>
                <a:lumOff val="50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6</xdr:col>
          <xdr:colOff>68580</xdr:colOff>
          <xdr:row>78</xdr:row>
          <xdr:rowOff>60960</xdr:rowOff>
        </xdr:from>
        <xdr:to>
          <xdr:col>10</xdr:col>
          <xdr:colOff>441960</xdr:colOff>
          <xdr:row>85</xdr:row>
          <xdr:rowOff>91440</xdr:rowOff>
        </xdr:to>
        <xdr:sp macro="" textlink="">
          <xdr:nvSpPr>
            <xdr:cNvPr id="3193" name="Group Box 121" hidden="1">
              <a:extLst>
                <a:ext uri="{63B3BB69-23CF-44E3-9099-C40C66FF867C}">
                  <a14:compatExt spid="_x0000_s3193"/>
                </a:ext>
                <a:ext uri="{FF2B5EF4-FFF2-40B4-BE49-F238E27FC236}">
                  <a16:creationId xmlns:a16="http://schemas.microsoft.com/office/drawing/2014/main" id="{00000000-0008-0000-0100-000079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342900</xdr:colOff>
          <xdr:row>78</xdr:row>
          <xdr:rowOff>144780</xdr:rowOff>
        </xdr:from>
        <xdr:to>
          <xdr:col>10</xdr:col>
          <xdr:colOff>190500</xdr:colOff>
          <xdr:row>79</xdr:row>
          <xdr:rowOff>152400</xdr:rowOff>
        </xdr:to>
        <xdr:sp macro="" textlink="">
          <xdr:nvSpPr>
            <xdr:cNvPr id="3194" name="Option Button 122" hidden="1">
              <a:extLst>
                <a:ext uri="{63B3BB69-23CF-44E3-9099-C40C66FF867C}">
                  <a14:compatExt spid="_x0000_s3194"/>
                </a:ext>
                <a:ext uri="{FF2B5EF4-FFF2-40B4-BE49-F238E27FC236}">
                  <a16:creationId xmlns:a16="http://schemas.microsoft.com/office/drawing/2014/main" id="{00000000-0008-0000-0100-00007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Ex Works Slavkov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243840</xdr:colOff>
          <xdr:row>78</xdr:row>
          <xdr:rowOff>121920</xdr:rowOff>
        </xdr:from>
        <xdr:to>
          <xdr:col>7</xdr:col>
          <xdr:colOff>419100</xdr:colOff>
          <xdr:row>80</xdr:row>
          <xdr:rowOff>45720</xdr:rowOff>
        </xdr:to>
        <xdr:sp macro="" textlink="">
          <xdr:nvSpPr>
            <xdr:cNvPr id="3195" name="Option Button 123" hidden="1">
              <a:extLst>
                <a:ext uri="{63B3BB69-23CF-44E3-9099-C40C66FF867C}">
                  <a14:compatExt spid="_x0000_s3195"/>
                </a:ext>
                <a:ext uri="{FF2B5EF4-FFF2-40B4-BE49-F238E27FC236}">
                  <a16:creationId xmlns:a16="http://schemas.microsoft.com/office/drawing/2014/main" id="{00000000-0008-0000-0100-00007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Standard</a:t>
              </a:r>
            </a:p>
          </xdr:txBody>
        </xdr:sp>
        <xdr:clientData/>
      </xdr:twoCellAnchor>
    </mc:Choice>
    <mc:Fallback/>
  </mc:AlternateContent>
  <xdr:twoCellAnchor>
    <xdr:from>
      <xdr:col>8</xdr:col>
      <xdr:colOff>476570</xdr:colOff>
      <xdr:row>79</xdr:row>
      <xdr:rowOff>154220</xdr:rowOff>
    </xdr:from>
    <xdr:to>
      <xdr:col>10</xdr:col>
      <xdr:colOff>473393</xdr:colOff>
      <xdr:row>82</xdr:row>
      <xdr:rowOff>112711</xdr:rowOff>
    </xdr:to>
    <xdr:sp macro="" textlink="">
      <xdr:nvSpPr>
        <xdr:cNvPr id="97" name="TextBox 96">
          <a:extLst>
            <a:ext uri="{FF2B5EF4-FFF2-40B4-BE49-F238E27FC236}">
              <a16:creationId xmlns:a16="http://schemas.microsoft.com/office/drawing/2014/main" id="{00000000-0008-0000-0100-000061000000}"/>
            </a:ext>
          </a:extLst>
        </xdr:cNvPr>
        <xdr:cNvSpPr txBox="1"/>
      </xdr:nvSpPr>
      <xdr:spPr>
        <a:xfrm>
          <a:off x="5175570" y="15211658"/>
          <a:ext cx="1211261" cy="5061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Pro export a indickou</a:t>
          </a:r>
          <a:r>
            <a:rPr lang="cs-CZ" sz="800" baseline="0">
              <a:solidFill>
                <a:schemeClr val="tx1">
                  <a:lumMod val="50000"/>
                  <a:lumOff val="50000"/>
                </a:schemeClr>
              </a:solidFill>
            </a:rPr>
            <a:t> pobočku</a:t>
          </a:r>
          <a:endParaRPr lang="en-US" sz="800">
            <a:solidFill>
              <a:schemeClr val="tx1">
                <a:lumMod val="50000"/>
                <a:lumOff val="50000"/>
              </a:schemeClr>
            </a:solidFill>
            <a:latin typeface="+mn-lt"/>
            <a:ea typeface="+mn-ea"/>
            <a:cs typeface="+mn-cs"/>
          </a:endParaRPr>
        </a:p>
      </xdr:txBody>
    </xdr:sp>
    <xdr:clientData/>
  </xdr:twoCellAnchor>
  <xdr:twoCellAnchor>
    <xdr:from>
      <xdr:col>6</xdr:col>
      <xdr:colOff>361316</xdr:colOff>
      <xdr:row>79</xdr:row>
      <xdr:rowOff>162472</xdr:rowOff>
    </xdr:from>
    <xdr:to>
      <xdr:col>8</xdr:col>
      <xdr:colOff>474346</xdr:colOff>
      <xdr:row>84</xdr:row>
      <xdr:rowOff>118740</xdr:rowOff>
    </xdr:to>
    <xdr:sp macro="" textlink="">
      <xdr:nvSpPr>
        <xdr:cNvPr id="101" name="TextBox 100">
          <a:extLst>
            <a:ext uri="{FF2B5EF4-FFF2-40B4-BE49-F238E27FC236}">
              <a16:creationId xmlns:a16="http://schemas.microsoft.com/office/drawing/2014/main" id="{00000000-0008-0000-0100-000065000000}"/>
            </a:ext>
          </a:extLst>
        </xdr:cNvPr>
        <xdr:cNvSpPr txBox="1"/>
      </xdr:nvSpPr>
      <xdr:spPr>
        <a:xfrm>
          <a:off x="4012566" y="15219910"/>
          <a:ext cx="1160780" cy="86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Doprava a montáž zajištěna střediskem,</a:t>
          </a:r>
          <a:r>
            <a:rPr lang="cs-CZ" sz="800" baseline="0">
              <a:solidFill>
                <a:schemeClr val="tx1">
                  <a:lumMod val="50000"/>
                  <a:lumOff val="50000"/>
                </a:schemeClr>
              </a:solidFill>
            </a:rPr>
            <a:t> zahrnuje jeden výjezd vývoje pro asistenci u montáže, kontrolu a školení zákazníka</a:t>
          </a:r>
          <a:endParaRPr lang="en-US" sz="800">
            <a:solidFill>
              <a:schemeClr val="tx1">
                <a:lumMod val="50000"/>
                <a:lumOff val="50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3</xdr:col>
          <xdr:colOff>358140</xdr:colOff>
          <xdr:row>71</xdr:row>
          <xdr:rowOff>175260</xdr:rowOff>
        </xdr:from>
        <xdr:to>
          <xdr:col>5</xdr:col>
          <xdr:colOff>205740</xdr:colOff>
          <xdr:row>73</xdr:row>
          <xdr:rowOff>15240</xdr:rowOff>
        </xdr:to>
        <xdr:sp macro="" textlink="">
          <xdr:nvSpPr>
            <xdr:cNvPr id="3197" name="Option Button 125" hidden="1">
              <a:extLst>
                <a:ext uri="{63B3BB69-23CF-44E3-9099-C40C66FF867C}">
                  <a14:compatExt spid="_x0000_s3197"/>
                </a:ext>
                <a:ext uri="{FF2B5EF4-FFF2-40B4-BE49-F238E27FC236}">
                  <a16:creationId xmlns:a16="http://schemas.microsoft.com/office/drawing/2014/main" id="{00000000-0008-0000-0100-00007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Stolní</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388620</xdr:colOff>
          <xdr:row>71</xdr:row>
          <xdr:rowOff>167640</xdr:rowOff>
        </xdr:from>
        <xdr:to>
          <xdr:col>7</xdr:col>
          <xdr:colOff>7620</xdr:colOff>
          <xdr:row>73</xdr:row>
          <xdr:rowOff>15240</xdr:rowOff>
        </xdr:to>
        <xdr:sp macro="" textlink="">
          <xdr:nvSpPr>
            <xdr:cNvPr id="3199" name="Option Button 127" hidden="1">
              <a:extLst>
                <a:ext uri="{63B3BB69-23CF-44E3-9099-C40C66FF867C}">
                  <a14:compatExt spid="_x0000_s3199"/>
                </a:ext>
                <a:ext uri="{FF2B5EF4-FFF2-40B4-BE49-F238E27FC236}">
                  <a16:creationId xmlns:a16="http://schemas.microsoft.com/office/drawing/2014/main" id="{00000000-0008-0000-0100-00007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Bez kamery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205740</xdr:colOff>
          <xdr:row>78</xdr:row>
          <xdr:rowOff>60960</xdr:rowOff>
        </xdr:from>
        <xdr:to>
          <xdr:col>5</xdr:col>
          <xdr:colOff>365760</xdr:colOff>
          <xdr:row>85</xdr:row>
          <xdr:rowOff>106680</xdr:rowOff>
        </xdr:to>
        <xdr:sp macro="" textlink="">
          <xdr:nvSpPr>
            <xdr:cNvPr id="3200" name="Group Box 128" hidden="1">
              <a:extLst>
                <a:ext uri="{63B3BB69-23CF-44E3-9099-C40C66FF867C}">
                  <a14:compatExt spid="_x0000_s3200"/>
                </a:ext>
                <a:ext uri="{FF2B5EF4-FFF2-40B4-BE49-F238E27FC236}">
                  <a16:creationId xmlns:a16="http://schemas.microsoft.com/office/drawing/2014/main" id="{00000000-0008-0000-0100-000080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327660</xdr:colOff>
          <xdr:row>78</xdr:row>
          <xdr:rowOff>167640</xdr:rowOff>
        </xdr:from>
        <xdr:to>
          <xdr:col>4</xdr:col>
          <xdr:colOff>152400</xdr:colOff>
          <xdr:row>80</xdr:row>
          <xdr:rowOff>7620</xdr:rowOff>
        </xdr:to>
        <xdr:sp macro="" textlink="">
          <xdr:nvSpPr>
            <xdr:cNvPr id="3201" name="Option Button 129" hidden="1">
              <a:extLst>
                <a:ext uri="{63B3BB69-23CF-44E3-9099-C40C66FF867C}">
                  <a14:compatExt spid="_x0000_s3201"/>
                </a:ext>
                <a:ext uri="{FF2B5EF4-FFF2-40B4-BE49-F238E27FC236}">
                  <a16:creationId xmlns:a16="http://schemas.microsoft.com/office/drawing/2014/main" id="{00000000-0008-0000-0100-00008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Standard (2 transduktory)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320040</xdr:colOff>
          <xdr:row>80</xdr:row>
          <xdr:rowOff>38100</xdr:rowOff>
        </xdr:from>
        <xdr:to>
          <xdr:col>4</xdr:col>
          <xdr:colOff>289560</xdr:colOff>
          <xdr:row>81</xdr:row>
          <xdr:rowOff>76200</xdr:rowOff>
        </xdr:to>
        <xdr:sp macro="" textlink="">
          <xdr:nvSpPr>
            <xdr:cNvPr id="3203" name="Option Button 131" hidden="1">
              <a:extLst>
                <a:ext uri="{63B3BB69-23CF-44E3-9099-C40C66FF867C}">
                  <a14:compatExt spid="_x0000_s3203"/>
                </a:ext>
                <a:ext uri="{FF2B5EF4-FFF2-40B4-BE49-F238E27FC236}">
                  <a16:creationId xmlns:a16="http://schemas.microsoft.com/office/drawing/2014/main" id="{00000000-0008-0000-0100-00008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Ozvučení okolních modulů</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312420</xdr:colOff>
          <xdr:row>83</xdr:row>
          <xdr:rowOff>38100</xdr:rowOff>
        </xdr:from>
        <xdr:to>
          <xdr:col>3</xdr:col>
          <xdr:colOff>510540</xdr:colOff>
          <xdr:row>84</xdr:row>
          <xdr:rowOff>76200</xdr:rowOff>
        </xdr:to>
        <xdr:sp macro="" textlink="">
          <xdr:nvSpPr>
            <xdr:cNvPr id="3204" name="Option Button 132" hidden="1">
              <a:extLst>
                <a:ext uri="{63B3BB69-23CF-44E3-9099-C40C66FF867C}">
                  <a14:compatExt spid="_x0000_s3204"/>
                </a:ext>
                <a:ext uri="{FF2B5EF4-FFF2-40B4-BE49-F238E27FC236}">
                  <a16:creationId xmlns:a16="http://schemas.microsoft.com/office/drawing/2014/main" id="{00000000-0008-0000-0100-00008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Bez ozvučení</a:t>
              </a:r>
            </a:p>
          </xdr:txBody>
        </xdr:sp>
        <xdr:clientData/>
      </xdr:twoCellAnchor>
    </mc:Choice>
    <mc:Fallback/>
  </mc:AlternateContent>
  <xdr:twoCellAnchor>
    <xdr:from>
      <xdr:col>1</xdr:col>
      <xdr:colOff>436563</xdr:colOff>
      <xdr:row>81</xdr:row>
      <xdr:rowOff>36105</xdr:rowOff>
    </xdr:from>
    <xdr:to>
      <xdr:col>5</xdr:col>
      <xdr:colOff>56197</xdr:colOff>
      <xdr:row>83</xdr:row>
      <xdr:rowOff>125087</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1047751" y="15458668"/>
          <a:ext cx="2048509" cy="454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Může být na skle</a:t>
          </a:r>
          <a:r>
            <a:rPr lang="cs-CZ" sz="800" baseline="0">
              <a:solidFill>
                <a:schemeClr val="tx1">
                  <a:lumMod val="50000"/>
                  <a:lumOff val="50000"/>
                </a:schemeClr>
              </a:solidFill>
            </a:rPr>
            <a:t> nebo na pevném podkladu, popřípadě pod stolem v místnosti</a:t>
          </a:r>
          <a:endParaRPr lang="en-US" sz="800">
            <a:solidFill>
              <a:schemeClr val="tx1">
                <a:lumMod val="50000"/>
                <a:lumOff val="50000"/>
              </a:schemeClr>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507289</xdr:colOff>
      <xdr:row>4</xdr:row>
      <xdr:rowOff>174599</xdr:rowOff>
    </xdr:from>
    <xdr:to>
      <xdr:col>7</xdr:col>
      <xdr:colOff>260348</xdr:colOff>
      <xdr:row>9</xdr:row>
      <xdr:rowOff>97543</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16889" y="951839"/>
          <a:ext cx="3395419" cy="837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800">
              <a:solidFill>
                <a:schemeClr val="tx1">
                  <a:lumMod val="50000"/>
                  <a:lumOff val="50000"/>
                </a:schemeClr>
              </a:solidFill>
            </a:rPr>
            <a:t>Classic module, surrounding modules with</a:t>
          </a:r>
          <a:r>
            <a:rPr lang="en-US" sz="800" baseline="0">
              <a:solidFill>
                <a:schemeClr val="tx1">
                  <a:lumMod val="50000"/>
                  <a:lumOff val="50000"/>
                </a:schemeClr>
              </a:solidFill>
            </a:rPr>
            <a:t> custom fill</a:t>
          </a:r>
          <a:r>
            <a:rPr lang="en-US" sz="800">
              <a:solidFill>
                <a:schemeClr val="tx1">
                  <a:lumMod val="50000"/>
                  <a:lumOff val="50000"/>
                </a:schemeClr>
              </a:solidFill>
            </a:rPr>
            <a:t>, components are accessed from the back side after unscrewing the back panel. One of</a:t>
          </a:r>
          <a:r>
            <a:rPr lang="en-US" sz="800" baseline="0">
              <a:solidFill>
                <a:schemeClr val="tx1">
                  <a:lumMod val="50000"/>
                  <a:lumOff val="50000"/>
                </a:schemeClr>
              </a:solidFill>
            </a:rPr>
            <a:t> the adjacent modules must be opaque </a:t>
          </a:r>
          <a:r>
            <a:rPr lang="en-US" sz="800">
              <a:solidFill>
                <a:schemeClr val="tx1">
                  <a:lumMod val="50000"/>
                  <a:lumOff val="50000"/>
                </a:schemeClr>
              </a:solidFill>
            </a:rPr>
            <a:t>(may be colored</a:t>
          </a:r>
          <a:r>
            <a:rPr lang="en-US" sz="800" baseline="0">
              <a:solidFill>
                <a:schemeClr val="tx1">
                  <a:lumMod val="50000"/>
                  <a:lumOff val="50000"/>
                </a:schemeClr>
              </a:solidFill>
            </a:rPr>
            <a:t> glass</a:t>
          </a:r>
          <a:r>
            <a:rPr lang="en-US" sz="800">
              <a:solidFill>
                <a:schemeClr val="tx1">
                  <a:lumMod val="50000"/>
                  <a:lumOff val="50000"/>
                </a:schemeClr>
              </a:solidFill>
            </a:rPr>
            <a:t>), but there has to be a hole in</a:t>
          </a:r>
          <a:r>
            <a:rPr lang="en-US" sz="800" baseline="0">
              <a:solidFill>
                <a:schemeClr val="tx1">
                  <a:lumMod val="50000"/>
                  <a:lumOff val="50000"/>
                </a:schemeClr>
              </a:solidFill>
            </a:rPr>
            <a:t> the frame for power cable 220V </a:t>
          </a:r>
          <a:r>
            <a:rPr lang="en-US" sz="800">
              <a:solidFill>
                <a:schemeClr val="tx1">
                  <a:lumMod val="50000"/>
                  <a:lumOff val="50000"/>
                </a:schemeClr>
              </a:solidFill>
            </a:rPr>
            <a:t>(from</a:t>
          </a:r>
          <a:r>
            <a:rPr lang="en-US" sz="800" baseline="0">
              <a:solidFill>
                <a:schemeClr val="tx1">
                  <a:lumMod val="50000"/>
                  <a:lumOff val="50000"/>
                </a:schemeClr>
              </a:solidFill>
            </a:rPr>
            <a:t> the side, ceiling, or floor</a:t>
          </a:r>
          <a:r>
            <a:rPr lang="en-US" sz="800">
              <a:solidFill>
                <a:schemeClr val="tx1">
                  <a:lumMod val="50000"/>
                  <a:lumOff val="50000"/>
                </a:schemeClr>
              </a:solidFill>
            </a:rPr>
            <a:t>)</a:t>
          </a:r>
        </a:p>
        <a:p>
          <a:r>
            <a:rPr lang="en-US" sz="800">
              <a:solidFill>
                <a:schemeClr val="tx1">
                  <a:lumMod val="50000"/>
                  <a:lumOff val="50000"/>
                </a:schemeClr>
              </a:solidFill>
            </a:rPr>
            <a:t>Standard size is 75" ,</a:t>
          </a:r>
          <a:r>
            <a:rPr lang="en-US" sz="800" baseline="0">
              <a:solidFill>
                <a:schemeClr val="tx1">
                  <a:lumMod val="50000"/>
                  <a:lumOff val="50000"/>
                </a:schemeClr>
              </a:solidFill>
            </a:rPr>
            <a:t> which is</a:t>
          </a:r>
          <a:r>
            <a:rPr lang="en-US" sz="800">
              <a:solidFill>
                <a:schemeClr val="tx1">
                  <a:lumMod val="50000"/>
                  <a:lumOff val="50000"/>
                </a:schemeClr>
              </a:solidFill>
            </a:rPr>
            <a:t> 2050 x 1165 mm.</a:t>
          </a:r>
          <a:r>
            <a:rPr lang="en-US" sz="800" baseline="0">
              <a:solidFill>
                <a:schemeClr val="tx1">
                  <a:lumMod val="50000"/>
                  <a:lumOff val="50000"/>
                </a:schemeClr>
              </a:solidFill>
            </a:rPr>
            <a:t> Laterally may be extended as needed. For other sizes please consult R&amp;D.</a:t>
          </a:r>
          <a:endParaRPr lang="en-US" sz="800">
            <a:solidFill>
              <a:schemeClr val="tx1">
                <a:lumMod val="50000"/>
                <a:lumOff val="50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373380</xdr:colOff>
          <xdr:row>4</xdr:row>
          <xdr:rowOff>7620</xdr:rowOff>
        </xdr:from>
        <xdr:to>
          <xdr:col>3</xdr:col>
          <xdr:colOff>68580</xdr:colOff>
          <xdr:row>5</xdr:row>
          <xdr:rowOff>38100</xdr:rowOff>
        </xdr:to>
        <xdr:sp macro="" textlink="">
          <xdr:nvSpPr>
            <xdr:cNvPr id="4097" name="Option 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OMEGA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373380</xdr:colOff>
          <xdr:row>10</xdr:row>
          <xdr:rowOff>53340</xdr:rowOff>
        </xdr:from>
        <xdr:to>
          <xdr:col>3</xdr:col>
          <xdr:colOff>68580</xdr:colOff>
          <xdr:row>11</xdr:row>
          <xdr:rowOff>45720</xdr:rowOff>
        </xdr:to>
        <xdr:sp macro="" textlink="">
          <xdr:nvSpPr>
            <xdr:cNvPr id="4098" name="Option 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RAVA</a:t>
              </a:r>
            </a:p>
          </xdr:txBody>
        </xdr:sp>
        <xdr:clientData/>
      </xdr:twoCellAnchor>
    </mc:Choice>
    <mc:Fallback/>
  </mc:AlternateContent>
  <xdr:twoCellAnchor>
    <xdr:from>
      <xdr:col>1</xdr:col>
      <xdr:colOff>498035</xdr:colOff>
      <xdr:row>11</xdr:row>
      <xdr:rowOff>21702</xdr:rowOff>
    </xdr:from>
    <xdr:to>
      <xdr:col>7</xdr:col>
      <xdr:colOff>241300</xdr:colOff>
      <xdr:row>14</xdr:row>
      <xdr:rowOff>121706</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1107635" y="2091802"/>
          <a:ext cx="3400865" cy="652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800">
              <a:solidFill>
                <a:schemeClr val="tx1">
                  <a:lumMod val="50000"/>
                  <a:lumOff val="50000"/>
                </a:schemeClr>
              </a:solidFill>
            </a:rPr>
            <a:t>Components are </a:t>
          </a:r>
          <a:r>
            <a:rPr lang="cs-CZ" sz="800">
              <a:solidFill>
                <a:schemeClr val="tx1">
                  <a:lumMod val="50000"/>
                  <a:lumOff val="50000"/>
                </a:schemeClr>
              </a:solidFill>
            </a:rPr>
            <a:t>accessed</a:t>
          </a:r>
          <a:r>
            <a:rPr lang="cs-CZ" sz="800" baseline="0">
              <a:solidFill>
                <a:schemeClr val="tx1">
                  <a:lumMod val="50000"/>
                  <a:lumOff val="50000"/>
                </a:schemeClr>
              </a:solidFill>
            </a:rPr>
            <a:t> via tiltable panel below the SIW display module, from either front or back side. One of the adjacent modules must be opaque (may be colored glass), but there has to be a hole in the frame for power cable 220v (from the side, ceiling, or floor). </a:t>
          </a:r>
          <a:endParaRPr lang="en-US" sz="800">
            <a:solidFill>
              <a:schemeClr val="tx1">
                <a:lumMod val="50000"/>
                <a:lumOff val="50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381000</xdr:colOff>
          <xdr:row>15</xdr:row>
          <xdr:rowOff>7620</xdr:rowOff>
        </xdr:from>
        <xdr:to>
          <xdr:col>4</xdr:col>
          <xdr:colOff>281940</xdr:colOff>
          <xdr:row>16</xdr:row>
          <xdr:rowOff>53340</xdr:rowOff>
        </xdr:to>
        <xdr:sp macro="" textlink="">
          <xdr:nvSpPr>
            <xdr:cNvPr id="4099" name="Option 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MICRA II  (front) / RAVA (back)</a:t>
              </a:r>
            </a:p>
          </xdr:txBody>
        </xdr:sp>
        <xdr:clientData/>
      </xdr:twoCellAnchor>
    </mc:Choice>
    <mc:Fallback/>
  </mc:AlternateContent>
  <xdr:twoCellAnchor>
    <xdr:from>
      <xdr:col>1</xdr:col>
      <xdr:colOff>503912</xdr:colOff>
      <xdr:row>16</xdr:row>
      <xdr:rowOff>16613</xdr:rowOff>
    </xdr:from>
    <xdr:to>
      <xdr:col>7</xdr:col>
      <xdr:colOff>306917</xdr:colOff>
      <xdr:row>19</xdr:row>
      <xdr:rowOff>127001</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1113512" y="3007463"/>
          <a:ext cx="3460605" cy="6628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800" baseline="0">
              <a:solidFill>
                <a:schemeClr val="tx1">
                  <a:lumMod val="50000"/>
                  <a:lumOff val="50000"/>
                </a:schemeClr>
              </a:solidFill>
              <a:latin typeface="+mn-lt"/>
              <a:ea typeface="+mn-ea"/>
              <a:cs typeface="+mn-cs"/>
            </a:rPr>
            <a:t>Components are </a:t>
          </a:r>
          <a:r>
            <a:rPr lang="cs-CZ" sz="800" baseline="0">
              <a:solidFill>
                <a:schemeClr val="tx1">
                  <a:lumMod val="50000"/>
                  <a:lumOff val="50000"/>
                </a:schemeClr>
              </a:solidFill>
              <a:latin typeface="+mn-lt"/>
              <a:ea typeface="+mn-ea"/>
              <a:cs typeface="+mn-cs"/>
            </a:rPr>
            <a:t>accessed via tiltable panel below the SIW display module, from either front or back side. One of the adjacent modules must be opaque (may be colored glass), but there has to be a hole in the frame for power cable 220v (from the side, ceiling, or floor). </a:t>
          </a:r>
          <a:endParaRPr lang="en-US" sz="800" baseline="0">
            <a:solidFill>
              <a:schemeClr val="tx1">
                <a:lumMod val="50000"/>
                <a:lumOff val="50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175260</xdr:colOff>
          <xdr:row>3</xdr:row>
          <xdr:rowOff>60960</xdr:rowOff>
        </xdr:from>
        <xdr:to>
          <xdr:col>3</xdr:col>
          <xdr:colOff>487680</xdr:colOff>
          <xdr:row>19</xdr:row>
          <xdr:rowOff>30480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60960</xdr:colOff>
          <xdr:row>5</xdr:row>
          <xdr:rowOff>22860</xdr:rowOff>
        </xdr:from>
        <xdr:to>
          <xdr:col>9</xdr:col>
          <xdr:colOff>144780</xdr:colOff>
          <xdr:row>6</xdr:row>
          <xdr:rowOff>53340</xdr:rowOff>
        </xdr:to>
        <xdr:sp macro="" textlink="">
          <xdr:nvSpPr>
            <xdr:cNvPr id="4101" name="Option 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Elox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60960</xdr:colOff>
          <xdr:row>6</xdr:row>
          <xdr:rowOff>91440</xdr:rowOff>
        </xdr:from>
        <xdr:to>
          <xdr:col>9</xdr:col>
          <xdr:colOff>190500</xdr:colOff>
          <xdr:row>7</xdr:row>
          <xdr:rowOff>121920</xdr:rowOff>
        </xdr:to>
        <xdr:sp macro="" textlink="">
          <xdr:nvSpPr>
            <xdr:cNvPr id="4102" name="Option 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RAL 9005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60960</xdr:colOff>
          <xdr:row>7</xdr:row>
          <xdr:rowOff>160020</xdr:rowOff>
        </xdr:from>
        <xdr:to>
          <xdr:col>9</xdr:col>
          <xdr:colOff>182880</xdr:colOff>
          <xdr:row>9</xdr:row>
          <xdr:rowOff>15240</xdr:rowOff>
        </xdr:to>
        <xdr:sp macro="" textlink="">
          <xdr:nvSpPr>
            <xdr:cNvPr id="4103" name="Option Button 7" descr="Jiná"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Other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3</xdr:row>
          <xdr:rowOff>76200</xdr:rowOff>
        </xdr:from>
        <xdr:to>
          <xdr:col>9</xdr:col>
          <xdr:colOff>495300</xdr:colOff>
          <xdr:row>9</xdr:row>
          <xdr:rowOff>121920</xdr:rowOff>
        </xdr:to>
        <xdr:sp macro="" textlink="">
          <xdr:nvSpPr>
            <xdr:cNvPr id="4104" name="Group Box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548640</xdr:colOff>
          <xdr:row>22</xdr:row>
          <xdr:rowOff>160020</xdr:rowOff>
        </xdr:from>
        <xdr:to>
          <xdr:col>8</xdr:col>
          <xdr:colOff>220980</xdr:colOff>
          <xdr:row>24</xdr:row>
          <xdr:rowOff>7620</xdr:rowOff>
        </xdr:to>
        <xdr:sp macro="" textlink="">
          <xdr:nvSpPr>
            <xdr:cNvPr id="4105" name="Option 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43"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548640</xdr:colOff>
          <xdr:row>24</xdr:row>
          <xdr:rowOff>68580</xdr:rowOff>
        </xdr:from>
        <xdr:to>
          <xdr:col>8</xdr:col>
          <xdr:colOff>220980</xdr:colOff>
          <xdr:row>25</xdr:row>
          <xdr:rowOff>106680</xdr:rowOff>
        </xdr:to>
        <xdr:sp macro="" textlink="">
          <xdr:nvSpPr>
            <xdr:cNvPr id="4106" name="Option 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49"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548640</xdr:colOff>
          <xdr:row>25</xdr:row>
          <xdr:rowOff>175260</xdr:rowOff>
        </xdr:from>
        <xdr:to>
          <xdr:col>8</xdr:col>
          <xdr:colOff>220980</xdr:colOff>
          <xdr:row>27</xdr:row>
          <xdr:rowOff>22860</xdr:rowOff>
        </xdr:to>
        <xdr:sp macro="" textlink="">
          <xdr:nvSpPr>
            <xdr:cNvPr id="4107" name="Option 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55"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548640</xdr:colOff>
          <xdr:row>27</xdr:row>
          <xdr:rowOff>83820</xdr:rowOff>
        </xdr:from>
        <xdr:to>
          <xdr:col>8</xdr:col>
          <xdr:colOff>220980</xdr:colOff>
          <xdr:row>28</xdr:row>
          <xdr:rowOff>114300</xdr:rowOff>
        </xdr:to>
        <xdr:sp macro="" textlink="">
          <xdr:nvSpPr>
            <xdr:cNvPr id="4108" name="Option Button 12" hidden="1">
              <a:extLst>
                <a:ext uri="{63B3BB69-23CF-44E3-9099-C40C66FF867C}">
                  <a14:compatExt spid="_x0000_s4108"/>
                </a:ext>
                <a:ext uri="{FF2B5EF4-FFF2-40B4-BE49-F238E27FC236}">
                  <a16:creationId xmlns:a16="http://schemas.microsoft.com/office/drawing/2014/main" id="{00000000-0008-0000-02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65"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441960</xdr:colOff>
          <xdr:row>22</xdr:row>
          <xdr:rowOff>175260</xdr:rowOff>
        </xdr:from>
        <xdr:to>
          <xdr:col>10</xdr:col>
          <xdr:colOff>205740</xdr:colOff>
          <xdr:row>24</xdr:row>
          <xdr:rowOff>22860</xdr:rowOff>
        </xdr:to>
        <xdr:sp macro="" textlink="">
          <xdr:nvSpPr>
            <xdr:cNvPr id="4109" name="Option Button 13" hidden="1">
              <a:extLst>
                <a:ext uri="{63B3BB69-23CF-44E3-9099-C40C66FF867C}">
                  <a14:compatExt spid="_x0000_s4109"/>
                </a:ext>
                <a:ext uri="{FF2B5EF4-FFF2-40B4-BE49-F238E27FC236}">
                  <a16:creationId xmlns:a16="http://schemas.microsoft.com/office/drawing/2014/main" id="{00000000-0008-0000-02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75" [standard]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441960</xdr:colOff>
          <xdr:row>24</xdr:row>
          <xdr:rowOff>83820</xdr:rowOff>
        </xdr:from>
        <xdr:to>
          <xdr:col>10</xdr:col>
          <xdr:colOff>205740</xdr:colOff>
          <xdr:row>25</xdr:row>
          <xdr:rowOff>121920</xdr:rowOff>
        </xdr:to>
        <xdr:sp macro="" textlink="">
          <xdr:nvSpPr>
            <xdr:cNvPr id="4110" name="Option Button 14" hidden="1">
              <a:extLst>
                <a:ext uri="{63B3BB69-23CF-44E3-9099-C40C66FF867C}">
                  <a14:compatExt spid="_x0000_s4110"/>
                </a:ext>
                <a:ext uri="{FF2B5EF4-FFF2-40B4-BE49-F238E27FC236}">
                  <a16:creationId xmlns:a16="http://schemas.microsoft.com/office/drawing/2014/main" id="{00000000-0008-0000-02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82"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441960</xdr:colOff>
          <xdr:row>26</xdr:row>
          <xdr:rowOff>7620</xdr:rowOff>
        </xdr:from>
        <xdr:to>
          <xdr:col>10</xdr:col>
          <xdr:colOff>205740</xdr:colOff>
          <xdr:row>27</xdr:row>
          <xdr:rowOff>38100</xdr:rowOff>
        </xdr:to>
        <xdr:sp macro="" textlink="">
          <xdr:nvSpPr>
            <xdr:cNvPr id="4111" name="Option Button 15" hidden="1">
              <a:extLst>
                <a:ext uri="{63B3BB69-23CF-44E3-9099-C40C66FF867C}">
                  <a14:compatExt spid="_x0000_s4111"/>
                </a:ext>
                <a:ext uri="{FF2B5EF4-FFF2-40B4-BE49-F238E27FC236}">
                  <a16:creationId xmlns:a16="http://schemas.microsoft.com/office/drawing/2014/main" id="{00000000-0008-0000-02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85"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411480</xdr:colOff>
          <xdr:row>22</xdr:row>
          <xdr:rowOff>129540</xdr:rowOff>
        </xdr:from>
        <xdr:to>
          <xdr:col>3</xdr:col>
          <xdr:colOff>381000</xdr:colOff>
          <xdr:row>23</xdr:row>
          <xdr:rowOff>160020</xdr:rowOff>
        </xdr:to>
        <xdr:sp macro="" textlink="">
          <xdr:nvSpPr>
            <xdr:cNvPr id="4112" name="Option Button 16" hidden="1">
              <a:extLst>
                <a:ext uri="{63B3BB69-23CF-44E3-9099-C40C66FF867C}">
                  <a14:compatExt spid="_x0000_s4112"/>
                </a:ext>
                <a:ext uri="{FF2B5EF4-FFF2-40B4-BE49-F238E27FC236}">
                  <a16:creationId xmlns:a16="http://schemas.microsoft.com/office/drawing/2014/main" id="{00000000-0008-0000-02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350 nits[standard]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403860</xdr:colOff>
          <xdr:row>25</xdr:row>
          <xdr:rowOff>182880</xdr:rowOff>
        </xdr:from>
        <xdr:to>
          <xdr:col>3</xdr:col>
          <xdr:colOff>160020</xdr:colOff>
          <xdr:row>27</xdr:row>
          <xdr:rowOff>30480</xdr:rowOff>
        </xdr:to>
        <xdr:sp macro="" textlink="">
          <xdr:nvSpPr>
            <xdr:cNvPr id="4113" name="Option Button 17" hidden="1">
              <a:extLst>
                <a:ext uri="{63B3BB69-23CF-44E3-9099-C40C66FF867C}">
                  <a14:compatExt spid="_x0000_s4113"/>
                </a:ext>
                <a:ext uri="{FF2B5EF4-FFF2-40B4-BE49-F238E27FC236}">
                  <a16:creationId xmlns:a16="http://schemas.microsoft.com/office/drawing/2014/main" id="{00000000-0008-0000-02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500 nits</a:t>
              </a:r>
            </a:p>
          </xdr:txBody>
        </xdr:sp>
        <xdr:clientData/>
      </xdr:twoCellAnchor>
    </mc:Choice>
    <mc:Fallback/>
  </mc:AlternateContent>
  <xdr:oneCellAnchor>
    <xdr:from>
      <xdr:col>1</xdr:col>
      <xdr:colOff>539750</xdr:colOff>
      <xdr:row>23</xdr:row>
      <xdr:rowOff>95250</xdr:rowOff>
    </xdr:from>
    <xdr:ext cx="1657349" cy="342786"/>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1149350" y="4419600"/>
          <a:ext cx="165734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cs-CZ" sz="800">
              <a:solidFill>
                <a:schemeClr val="tx1">
                  <a:lumMod val="50000"/>
                  <a:lumOff val="50000"/>
                </a:schemeClr>
              </a:solidFill>
            </a:rPr>
            <a:t>Normal indoor</a:t>
          </a:r>
          <a:r>
            <a:rPr lang="cs-CZ" sz="800" baseline="0">
              <a:solidFill>
                <a:schemeClr val="tx1">
                  <a:lumMod val="50000"/>
                  <a:lumOff val="50000"/>
                </a:schemeClr>
              </a:solidFill>
            </a:rPr>
            <a:t> use, if there are nearby windows, the have blinds</a:t>
          </a:r>
        </a:p>
      </xdr:txBody>
    </xdr:sp>
    <xdr:clientData/>
  </xdr:oneCellAnchor>
  <xdr:oneCellAnchor>
    <xdr:from>
      <xdr:col>1</xdr:col>
      <xdr:colOff>539750</xdr:colOff>
      <xdr:row>26</xdr:row>
      <xdr:rowOff>146050</xdr:rowOff>
    </xdr:from>
    <xdr:ext cx="1847850" cy="468013"/>
    <xdr:sp macro="" textlink="">
      <xdr:nvSpPr>
        <xdr:cNvPr id="25" name="TextBox 24">
          <a:extLst>
            <a:ext uri="{FF2B5EF4-FFF2-40B4-BE49-F238E27FC236}">
              <a16:creationId xmlns:a16="http://schemas.microsoft.com/office/drawing/2014/main" id="{00000000-0008-0000-0200-000019000000}"/>
            </a:ext>
          </a:extLst>
        </xdr:cNvPr>
        <xdr:cNvSpPr txBox="1"/>
      </xdr:nvSpPr>
      <xdr:spPr>
        <a:xfrm>
          <a:off x="1149350" y="5022850"/>
          <a:ext cx="184785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cs-CZ" sz="800">
              <a:solidFill>
                <a:schemeClr val="tx1">
                  <a:lumMod val="50000"/>
                  <a:lumOff val="50000"/>
                </a:schemeClr>
              </a:solidFill>
            </a:rPr>
            <a:t>For semi-outdoor use or in places where</a:t>
          </a:r>
          <a:r>
            <a:rPr lang="cs-CZ" sz="800" baseline="0">
              <a:solidFill>
                <a:schemeClr val="tx1">
                  <a:lumMod val="50000"/>
                  <a:lumOff val="50000"/>
                </a:schemeClr>
              </a:solidFill>
            </a:rPr>
            <a:t> a lot of ambinet light is present (in the vicinity of large windows)</a:t>
          </a:r>
          <a:endParaRPr lang="en-US" sz="800">
            <a:solidFill>
              <a:schemeClr val="tx1">
                <a:lumMod val="50000"/>
                <a:lumOff val="50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6</xdr:col>
          <xdr:colOff>213360</xdr:colOff>
          <xdr:row>22</xdr:row>
          <xdr:rowOff>7620</xdr:rowOff>
        </xdr:from>
        <xdr:to>
          <xdr:col>10</xdr:col>
          <xdr:colOff>449580</xdr:colOff>
          <xdr:row>29</xdr:row>
          <xdr:rowOff>160020</xdr:rowOff>
        </xdr:to>
        <xdr:sp macro="" textlink="">
          <xdr:nvSpPr>
            <xdr:cNvPr id="4114" name="Group Box 18" hidden="1">
              <a:extLst>
                <a:ext uri="{63B3BB69-23CF-44E3-9099-C40C66FF867C}">
                  <a14:compatExt spid="_x0000_s4114"/>
                </a:ext>
                <a:ext uri="{FF2B5EF4-FFF2-40B4-BE49-F238E27FC236}">
                  <a16:creationId xmlns:a16="http://schemas.microsoft.com/office/drawing/2014/main" id="{00000000-0008-0000-02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373380</xdr:colOff>
          <xdr:row>32</xdr:row>
          <xdr:rowOff>129540</xdr:rowOff>
        </xdr:from>
        <xdr:to>
          <xdr:col>6</xdr:col>
          <xdr:colOff>358140</xdr:colOff>
          <xdr:row>33</xdr:row>
          <xdr:rowOff>160020</xdr:rowOff>
        </xdr:to>
        <xdr:sp macro="" textlink="">
          <xdr:nvSpPr>
            <xdr:cNvPr id="4115" name="Option 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Standard industrial PC for 24/7 operation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373380</xdr:colOff>
          <xdr:row>36</xdr:row>
          <xdr:rowOff>137160</xdr:rowOff>
        </xdr:from>
        <xdr:to>
          <xdr:col>5</xdr:col>
          <xdr:colOff>327660</xdr:colOff>
          <xdr:row>37</xdr:row>
          <xdr:rowOff>175260</xdr:rowOff>
        </xdr:to>
        <xdr:sp macro="" textlink="">
          <xdr:nvSpPr>
            <xdr:cNvPr id="4116" name="Option 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Premium industrial PC for 24/7 operation</a:t>
              </a:r>
            </a:p>
          </xdr:txBody>
        </xdr:sp>
        <xdr:clientData/>
      </xdr:twoCellAnchor>
    </mc:Choice>
    <mc:Fallback/>
  </mc:AlternateContent>
  <xdr:oneCellAnchor>
    <xdr:from>
      <xdr:col>1</xdr:col>
      <xdr:colOff>495300</xdr:colOff>
      <xdr:row>33</xdr:row>
      <xdr:rowOff>146050</xdr:rowOff>
    </xdr:from>
    <xdr:ext cx="3682217" cy="468013"/>
    <xdr:sp macro="" textlink="">
      <xdr:nvSpPr>
        <xdr:cNvPr id="29" name="TextBox 28">
          <a:extLst>
            <a:ext uri="{FF2B5EF4-FFF2-40B4-BE49-F238E27FC236}">
              <a16:creationId xmlns:a16="http://schemas.microsoft.com/office/drawing/2014/main" id="{00000000-0008-0000-0200-00001D000000}"/>
            </a:ext>
          </a:extLst>
        </xdr:cNvPr>
        <xdr:cNvSpPr txBox="1"/>
      </xdr:nvSpPr>
      <xdr:spPr>
        <a:xfrm>
          <a:off x="1104900" y="6356350"/>
          <a:ext cx="3682217"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cs-CZ" sz="800">
              <a:solidFill>
                <a:schemeClr val="tx1">
                  <a:lumMod val="50000"/>
                  <a:lumOff val="50000"/>
                </a:schemeClr>
              </a:solidFill>
            </a:rPr>
            <a:t>For common office use, video in 4K, conference</a:t>
          </a:r>
          <a:r>
            <a:rPr lang="cs-CZ" sz="800" baseline="0">
              <a:solidFill>
                <a:schemeClr val="tx1">
                  <a:lumMod val="50000"/>
                  <a:lumOff val="50000"/>
                </a:schemeClr>
              </a:solidFill>
            </a:rPr>
            <a:t> calls, and presentations</a:t>
          </a:r>
        </a:p>
        <a:p>
          <a:r>
            <a:rPr lang="en-US" sz="800">
              <a:solidFill>
                <a:schemeClr val="tx1">
                  <a:lumMod val="50000"/>
                  <a:lumOff val="50000"/>
                </a:schemeClr>
              </a:solidFill>
            </a:rPr>
            <a:t>Intel i3</a:t>
          </a:r>
          <a:r>
            <a:rPr lang="cs-CZ" sz="800">
              <a:solidFill>
                <a:schemeClr val="tx1">
                  <a:lumMod val="50000"/>
                  <a:lumOff val="50000"/>
                </a:schemeClr>
              </a:solidFill>
            </a:rPr>
            <a:t>-</a:t>
          </a:r>
          <a:r>
            <a:rPr lang="en-US" sz="800">
              <a:solidFill>
                <a:schemeClr val="tx1">
                  <a:lumMod val="50000"/>
                  <a:lumOff val="50000"/>
                </a:schemeClr>
              </a:solidFill>
            </a:rPr>
            <a:t>8100 @ 3.6 </a:t>
          </a:r>
          <a:r>
            <a:rPr lang="en-US" sz="800">
              <a:solidFill>
                <a:schemeClr val="tx1">
                  <a:lumMod val="50000"/>
                  <a:lumOff val="50000"/>
                </a:schemeClr>
              </a:solidFill>
              <a:latin typeface="+mn-lt"/>
              <a:ea typeface="+mn-ea"/>
              <a:cs typeface="+mn-cs"/>
            </a:rPr>
            <a:t>GHz, </a:t>
          </a:r>
          <a:r>
            <a:rPr lang="cs-CZ" sz="800">
              <a:solidFill>
                <a:schemeClr val="tx1">
                  <a:lumMod val="50000"/>
                  <a:lumOff val="50000"/>
                </a:schemeClr>
              </a:solidFill>
              <a:latin typeface="+mn-lt"/>
              <a:ea typeface="+mn-ea"/>
              <a:cs typeface="+mn-cs"/>
            </a:rPr>
            <a:t>score</a:t>
          </a:r>
          <a:r>
            <a:rPr lang="en-US" sz="800">
              <a:solidFill>
                <a:schemeClr val="tx1">
                  <a:lumMod val="50000"/>
                  <a:lumOff val="50000"/>
                </a:schemeClr>
              </a:solidFill>
              <a:latin typeface="+mn-lt"/>
              <a:ea typeface="+mn-ea"/>
              <a:cs typeface="+mn-cs"/>
            </a:rPr>
            <a:t> </a:t>
          </a:r>
          <a:r>
            <a:rPr lang="en-US" sz="800" b="1">
              <a:solidFill>
                <a:schemeClr val="tx1">
                  <a:lumMod val="50000"/>
                  <a:lumOff val="50000"/>
                </a:schemeClr>
              </a:solidFill>
              <a:latin typeface="+mn-lt"/>
              <a:ea typeface="+mn-ea"/>
              <a:cs typeface="+mn-cs"/>
            </a:rPr>
            <a:t>8 009 </a:t>
          </a:r>
          <a:r>
            <a:rPr lang="en-US" sz="800">
              <a:solidFill>
                <a:schemeClr val="tx1">
                  <a:lumMod val="50000"/>
                  <a:lumOff val="50000"/>
                </a:schemeClr>
              </a:solidFill>
              <a:latin typeface="+mn-lt"/>
              <a:ea typeface="+mn-ea"/>
              <a:cs typeface="+mn-cs"/>
            </a:rPr>
            <a:t>(cpubenchmark), 4 </a:t>
          </a:r>
          <a:r>
            <a:rPr lang="cs-CZ" sz="800">
              <a:solidFill>
                <a:schemeClr val="tx1">
                  <a:lumMod val="50000"/>
                  <a:lumOff val="50000"/>
                </a:schemeClr>
              </a:solidFill>
              <a:latin typeface="+mn-lt"/>
              <a:ea typeface="+mn-ea"/>
              <a:cs typeface="+mn-cs"/>
            </a:rPr>
            <a:t>physical cores</a:t>
          </a:r>
          <a:endParaRPr lang="en-US" sz="800">
            <a:solidFill>
              <a:schemeClr val="tx1">
                <a:lumMod val="50000"/>
                <a:lumOff val="50000"/>
              </a:schemeClr>
            </a:solidFill>
            <a:latin typeface="+mn-lt"/>
            <a:ea typeface="+mn-ea"/>
            <a:cs typeface="+mn-cs"/>
          </a:endParaRPr>
        </a:p>
        <a:p>
          <a:r>
            <a:rPr lang="en-US" sz="800">
              <a:solidFill>
                <a:schemeClr val="tx1">
                  <a:lumMod val="50000"/>
                  <a:lumOff val="50000"/>
                </a:schemeClr>
              </a:solidFill>
              <a:latin typeface="+mn-lt"/>
              <a:ea typeface="+mn-ea"/>
              <a:cs typeface="+mn-cs"/>
            </a:rPr>
            <a:t>8GB DDR4, 128GB SSD,Windows IoT Enteprise</a:t>
          </a:r>
        </a:p>
      </xdr:txBody>
    </xdr:sp>
    <xdr:clientData/>
  </xdr:oneCellAnchor>
  <xdr:oneCellAnchor>
    <xdr:from>
      <xdr:col>1</xdr:col>
      <xdr:colOff>495300</xdr:colOff>
      <xdr:row>38</xdr:row>
      <xdr:rowOff>0</xdr:rowOff>
    </xdr:from>
    <xdr:ext cx="3682217" cy="593239"/>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1104900" y="7131050"/>
          <a:ext cx="3682217" cy="5932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cs-CZ" sz="800">
              <a:solidFill>
                <a:schemeClr val="tx1">
                  <a:lumMod val="50000"/>
                  <a:lumOff val="50000"/>
                </a:schemeClr>
              </a:solidFill>
            </a:rPr>
            <a:t>For displaying </a:t>
          </a:r>
          <a:r>
            <a:rPr lang="en-US" sz="800">
              <a:solidFill>
                <a:schemeClr val="tx1">
                  <a:lumMod val="50000"/>
                  <a:lumOff val="50000"/>
                </a:schemeClr>
              </a:solidFill>
            </a:rPr>
            <a:t>3D model</a:t>
          </a:r>
          <a:r>
            <a:rPr lang="cs-CZ" sz="800">
              <a:solidFill>
                <a:schemeClr val="tx1">
                  <a:lumMod val="50000"/>
                  <a:lumOff val="50000"/>
                </a:schemeClr>
              </a:solidFill>
            </a:rPr>
            <a:t>s</a:t>
          </a:r>
          <a:r>
            <a:rPr lang="en-US" sz="800">
              <a:solidFill>
                <a:schemeClr val="tx1">
                  <a:lumMod val="50000"/>
                  <a:lumOff val="50000"/>
                </a:schemeClr>
              </a:solidFill>
            </a:rPr>
            <a:t>, </a:t>
          </a:r>
          <a:r>
            <a:rPr lang="cs-CZ" sz="800">
              <a:solidFill>
                <a:schemeClr val="tx1">
                  <a:lumMod val="50000"/>
                  <a:lumOff val="50000"/>
                </a:schemeClr>
              </a:solidFill>
            </a:rPr>
            <a:t>video editing,</a:t>
          </a:r>
          <a:r>
            <a:rPr lang="cs-CZ" sz="800" baseline="0">
              <a:solidFill>
                <a:schemeClr val="tx1">
                  <a:lumMod val="50000"/>
                  <a:lumOff val="50000"/>
                </a:schemeClr>
              </a:solidFill>
            </a:rPr>
            <a:t> and demanding programs</a:t>
          </a:r>
        </a:p>
        <a:p>
          <a:r>
            <a:rPr lang="en-US" sz="800">
              <a:solidFill>
                <a:schemeClr val="tx1">
                  <a:lumMod val="50000"/>
                  <a:lumOff val="50000"/>
                </a:schemeClr>
              </a:solidFill>
              <a:latin typeface="+mn-lt"/>
              <a:ea typeface="+mn-ea"/>
              <a:cs typeface="+mn-cs"/>
            </a:rPr>
            <a:t>Intel i7</a:t>
          </a:r>
          <a:r>
            <a:rPr lang="cs-CZ" sz="800">
              <a:solidFill>
                <a:schemeClr val="tx1">
                  <a:lumMod val="50000"/>
                  <a:lumOff val="50000"/>
                </a:schemeClr>
              </a:solidFill>
              <a:latin typeface="+mn-lt"/>
              <a:ea typeface="+mn-ea"/>
              <a:cs typeface="+mn-cs"/>
            </a:rPr>
            <a:t>-</a:t>
          </a:r>
          <a:r>
            <a:rPr lang="en-US" sz="800">
              <a:solidFill>
                <a:schemeClr val="tx1">
                  <a:lumMod val="50000"/>
                  <a:lumOff val="50000"/>
                </a:schemeClr>
              </a:solidFill>
              <a:latin typeface="+mn-lt"/>
              <a:ea typeface="+mn-ea"/>
              <a:cs typeface="+mn-cs"/>
            </a:rPr>
            <a:t>8700 @ 3.2GHz, </a:t>
          </a:r>
          <a:r>
            <a:rPr lang="cs-CZ" sz="800">
              <a:solidFill>
                <a:schemeClr val="tx1">
                  <a:lumMod val="50000"/>
                  <a:lumOff val="50000"/>
                </a:schemeClr>
              </a:solidFill>
              <a:latin typeface="+mn-lt"/>
              <a:ea typeface="+mn-ea"/>
              <a:cs typeface="+mn-cs"/>
            </a:rPr>
            <a:t>score</a:t>
          </a:r>
          <a:r>
            <a:rPr lang="en-US" sz="800">
              <a:solidFill>
                <a:schemeClr val="tx1">
                  <a:lumMod val="50000"/>
                  <a:lumOff val="50000"/>
                </a:schemeClr>
              </a:solidFill>
              <a:latin typeface="+mn-lt"/>
              <a:ea typeface="+mn-ea"/>
              <a:cs typeface="+mn-cs"/>
            </a:rPr>
            <a:t> </a:t>
          </a:r>
          <a:r>
            <a:rPr lang="en-US" sz="800" b="1">
              <a:solidFill>
                <a:schemeClr val="tx1">
                  <a:lumMod val="50000"/>
                  <a:lumOff val="50000"/>
                </a:schemeClr>
              </a:solidFill>
              <a:latin typeface="+mn-lt"/>
              <a:ea typeface="+mn-ea"/>
              <a:cs typeface="+mn-cs"/>
            </a:rPr>
            <a:t>15 142 </a:t>
          </a:r>
          <a:r>
            <a:rPr lang="en-US" sz="800">
              <a:solidFill>
                <a:schemeClr val="tx1">
                  <a:lumMod val="50000"/>
                  <a:lumOff val="50000"/>
                </a:schemeClr>
              </a:solidFill>
              <a:latin typeface="+mn-lt"/>
              <a:ea typeface="+mn-ea"/>
              <a:cs typeface="+mn-cs"/>
            </a:rPr>
            <a:t>(cpubenchmark), 6 </a:t>
          </a:r>
          <a:r>
            <a:rPr lang="cs-CZ" sz="800">
              <a:solidFill>
                <a:schemeClr val="tx1">
                  <a:lumMod val="50000"/>
                  <a:lumOff val="50000"/>
                </a:schemeClr>
              </a:solidFill>
              <a:latin typeface="+mn-lt"/>
              <a:ea typeface="+mn-ea"/>
              <a:cs typeface="+mn-cs"/>
            </a:rPr>
            <a:t>cores, </a:t>
          </a:r>
          <a:r>
            <a:rPr lang="en-US" sz="800">
              <a:solidFill>
                <a:schemeClr val="tx1">
                  <a:lumMod val="50000"/>
                  <a:lumOff val="50000"/>
                </a:schemeClr>
              </a:solidFill>
              <a:latin typeface="+mn-lt"/>
              <a:ea typeface="+mn-ea"/>
              <a:cs typeface="+mn-cs"/>
            </a:rPr>
            <a:t>3 </a:t>
          </a:r>
          <a:r>
            <a:rPr lang="cs-CZ" sz="800">
              <a:solidFill>
                <a:schemeClr val="tx1">
                  <a:lumMod val="50000"/>
                  <a:lumOff val="50000"/>
                </a:schemeClr>
              </a:solidFill>
              <a:latin typeface="+mn-lt"/>
              <a:ea typeface="+mn-ea"/>
              <a:cs typeface="+mn-cs"/>
            </a:rPr>
            <a:t>physical</a:t>
          </a:r>
          <a:br>
            <a:rPr lang="cs-CZ" sz="800">
              <a:solidFill>
                <a:schemeClr val="tx1">
                  <a:lumMod val="50000"/>
                  <a:lumOff val="50000"/>
                </a:schemeClr>
              </a:solidFill>
              <a:latin typeface="+mn-lt"/>
              <a:ea typeface="+mn-ea"/>
              <a:cs typeface="+mn-cs"/>
            </a:rPr>
          </a:br>
          <a:r>
            <a:rPr lang="en-US" sz="800">
              <a:solidFill>
                <a:schemeClr val="tx1">
                  <a:lumMod val="50000"/>
                  <a:lumOff val="50000"/>
                </a:schemeClr>
              </a:solidFill>
              <a:latin typeface="+mn-lt"/>
              <a:ea typeface="+mn-ea"/>
              <a:cs typeface="+mn-cs"/>
            </a:rPr>
            <a:t>16 GB DDR4, 256GB SSD,Windows IoT Enteprise </a:t>
          </a:r>
        </a:p>
        <a:p>
          <a:r>
            <a:rPr lang="en-US" sz="800">
              <a:solidFill>
                <a:schemeClr val="tx1">
                  <a:lumMod val="50000"/>
                  <a:lumOff val="50000"/>
                </a:schemeClr>
              </a:solidFill>
              <a:latin typeface="+mn-lt"/>
              <a:ea typeface="+mn-ea"/>
              <a:cs typeface="+mn-cs"/>
            </a:rPr>
            <a:t> </a:t>
          </a:r>
        </a:p>
      </xdr:txBody>
    </xdr:sp>
    <xdr:clientData/>
  </xdr:oneCellAnchor>
  <mc:AlternateContent xmlns:mc="http://schemas.openxmlformats.org/markup-compatibility/2006">
    <mc:Choice xmlns:a14="http://schemas.microsoft.com/office/drawing/2010/main" Requires="a14">
      <xdr:twoCellAnchor editAs="oneCell">
        <xdr:from>
          <xdr:col>1</xdr:col>
          <xdr:colOff>228600</xdr:colOff>
          <xdr:row>32</xdr:row>
          <xdr:rowOff>30480</xdr:rowOff>
        </xdr:from>
        <xdr:to>
          <xdr:col>7</xdr:col>
          <xdr:colOff>182880</xdr:colOff>
          <xdr:row>40</xdr:row>
          <xdr:rowOff>175260</xdr:rowOff>
        </xdr:to>
        <xdr:sp macro="" textlink="">
          <xdr:nvSpPr>
            <xdr:cNvPr id="4117" name="Group Box 21" hidden="1">
              <a:extLst>
                <a:ext uri="{63B3BB69-23CF-44E3-9099-C40C66FF867C}">
                  <a14:compatExt spid="_x0000_s4117"/>
                </a:ext>
                <a:ext uri="{FF2B5EF4-FFF2-40B4-BE49-F238E27FC236}">
                  <a16:creationId xmlns:a16="http://schemas.microsoft.com/office/drawing/2014/main" id="{00000000-0008-0000-0200-00001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32</xdr:row>
          <xdr:rowOff>137160</xdr:rowOff>
        </xdr:from>
        <xdr:to>
          <xdr:col>10</xdr:col>
          <xdr:colOff>205740</xdr:colOff>
          <xdr:row>33</xdr:row>
          <xdr:rowOff>144780</xdr:rowOff>
        </xdr:to>
        <xdr:sp macro="" textlink="">
          <xdr:nvSpPr>
            <xdr:cNvPr id="4118" name="Option Button 22" hidden="1">
              <a:extLst>
                <a:ext uri="{63B3BB69-23CF-44E3-9099-C40C66FF867C}">
                  <a14:compatExt spid="_x0000_s4118"/>
                </a:ext>
                <a:ext uri="{FF2B5EF4-FFF2-40B4-BE49-F238E27FC236}">
                  <a16:creationId xmlns:a16="http://schemas.microsoft.com/office/drawing/2014/main" id="{00000000-0008-0000-0200-00001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Via Wi-Fi (standard)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34</xdr:row>
          <xdr:rowOff>7620</xdr:rowOff>
        </xdr:from>
        <xdr:to>
          <xdr:col>10</xdr:col>
          <xdr:colOff>198120</xdr:colOff>
          <xdr:row>35</xdr:row>
          <xdr:rowOff>15240</xdr:rowOff>
        </xdr:to>
        <xdr:sp macro="" textlink="">
          <xdr:nvSpPr>
            <xdr:cNvPr id="4119" name="Option Button 23" hidden="1">
              <a:extLst>
                <a:ext uri="{63B3BB69-23CF-44E3-9099-C40C66FF867C}">
                  <a14:compatExt spid="_x0000_s4119"/>
                </a:ext>
                <a:ext uri="{FF2B5EF4-FFF2-40B4-BE49-F238E27FC236}">
                  <a16:creationId xmlns:a16="http://schemas.microsoft.com/office/drawing/2014/main" id="{00000000-0008-0000-02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Via cable</a:t>
              </a:r>
            </a:p>
          </xdr:txBody>
        </xdr:sp>
        <xdr:clientData/>
      </xdr:twoCellAnchor>
    </mc:Choice>
    <mc:Fallback/>
  </mc:AlternateContent>
  <xdr:oneCellAnchor>
    <xdr:from>
      <xdr:col>8</xdr:col>
      <xdr:colOff>247439</xdr:colOff>
      <xdr:row>34</xdr:row>
      <xdr:rowOff>169118</xdr:rowOff>
    </xdr:from>
    <xdr:ext cx="1403561" cy="970072"/>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4962314" y="6519118"/>
          <a:ext cx="1403561" cy="9700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Customer supplies ethernet cable from a sleeve</a:t>
          </a:r>
          <a:r>
            <a:rPr lang="cs-CZ" sz="800" baseline="0">
              <a:solidFill>
                <a:schemeClr val="tx1">
                  <a:lumMod val="50000"/>
                  <a:lumOff val="50000"/>
                </a:schemeClr>
              </a:solidFill>
            </a:rPr>
            <a:t> directly under the frame part, which sits directly against the wall, ceiling or floor</a:t>
          </a:r>
          <a:endParaRPr lang="en-US" sz="800">
            <a:solidFill>
              <a:schemeClr val="tx1">
                <a:lumMod val="50000"/>
                <a:lumOff val="50000"/>
              </a:schemeClr>
            </a:solidFill>
            <a:latin typeface="+mn-lt"/>
            <a:ea typeface="+mn-ea"/>
            <a:cs typeface="+mn-cs"/>
          </a:endParaRPr>
        </a:p>
      </xdr:txBody>
    </xdr:sp>
    <xdr:clientData/>
  </xdr:oneCellAnchor>
  <mc:AlternateContent xmlns:mc="http://schemas.openxmlformats.org/markup-compatibility/2006">
    <mc:Choice xmlns:a14="http://schemas.microsoft.com/office/drawing/2010/main" Requires="a14">
      <xdr:twoCellAnchor editAs="oneCell">
        <xdr:from>
          <xdr:col>8</xdr:col>
          <xdr:colOff>0</xdr:colOff>
          <xdr:row>32</xdr:row>
          <xdr:rowOff>38100</xdr:rowOff>
        </xdr:from>
        <xdr:to>
          <xdr:col>10</xdr:col>
          <xdr:colOff>419100</xdr:colOff>
          <xdr:row>40</xdr:row>
          <xdr:rowOff>182880</xdr:rowOff>
        </xdr:to>
        <xdr:sp macro="" textlink="">
          <xdr:nvSpPr>
            <xdr:cNvPr id="4120" name="Group Box 24" hidden="1">
              <a:extLst>
                <a:ext uri="{63B3BB69-23CF-44E3-9099-C40C66FF867C}">
                  <a14:compatExt spid="_x0000_s4120"/>
                </a:ext>
                <a:ext uri="{FF2B5EF4-FFF2-40B4-BE49-F238E27FC236}">
                  <a16:creationId xmlns:a16="http://schemas.microsoft.com/office/drawing/2014/main" id="{00000000-0008-0000-0200-000018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236220</xdr:colOff>
          <xdr:row>49</xdr:row>
          <xdr:rowOff>53340</xdr:rowOff>
        </xdr:from>
        <xdr:to>
          <xdr:col>7</xdr:col>
          <xdr:colOff>152400</xdr:colOff>
          <xdr:row>57</xdr:row>
          <xdr:rowOff>114300</xdr:rowOff>
        </xdr:to>
        <xdr:sp macro="" textlink="">
          <xdr:nvSpPr>
            <xdr:cNvPr id="4121" name="Group Box 25" hidden="1">
              <a:extLst>
                <a:ext uri="{63B3BB69-23CF-44E3-9099-C40C66FF867C}">
                  <a14:compatExt spid="_x0000_s4121"/>
                </a:ext>
                <a:ext uri="{FF2B5EF4-FFF2-40B4-BE49-F238E27FC236}">
                  <a16:creationId xmlns:a16="http://schemas.microsoft.com/office/drawing/2014/main" id="{00000000-0008-0000-0200-00001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xdr:col>
      <xdr:colOff>488951</xdr:colOff>
      <xdr:row>50</xdr:row>
      <xdr:rowOff>89771</xdr:rowOff>
    </xdr:from>
    <xdr:to>
      <xdr:col>7</xdr:col>
      <xdr:colOff>28907</xdr:colOff>
      <xdr:row>51</xdr:row>
      <xdr:rowOff>117554</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1098551" y="9698591"/>
          <a:ext cx="3182316" cy="2182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No cables leading out fo the module (except power cable)</a:t>
          </a:r>
          <a:endParaRPr lang="en-US" sz="800">
            <a:solidFill>
              <a:schemeClr val="tx1">
                <a:lumMod val="50000"/>
                <a:lumOff val="50000"/>
              </a:schemeClr>
            </a:solidFill>
            <a:latin typeface="+mn-lt"/>
            <a:ea typeface="+mn-ea"/>
            <a:cs typeface="+mn-cs"/>
          </a:endParaRPr>
        </a:p>
      </xdr:txBody>
    </xdr:sp>
    <xdr:clientData/>
  </xdr:twoCellAnchor>
  <xdr:twoCellAnchor>
    <xdr:from>
      <xdr:col>1</xdr:col>
      <xdr:colOff>457200</xdr:colOff>
      <xdr:row>52</xdr:row>
      <xdr:rowOff>40174</xdr:rowOff>
    </xdr:from>
    <xdr:to>
      <xdr:col>7</xdr:col>
      <xdr:colOff>88900</xdr:colOff>
      <xdr:row>54</xdr:row>
      <xdr:rowOff>19050</xdr:rowOff>
    </xdr:to>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1066800" y="10085874"/>
          <a:ext cx="3289300" cy="480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Maximum length of HDMI and</a:t>
          </a:r>
          <a:r>
            <a:rPr lang="cs-CZ" sz="800" baseline="0">
              <a:solidFill>
                <a:schemeClr val="tx1">
                  <a:lumMod val="50000"/>
                  <a:lumOff val="50000"/>
                </a:schemeClr>
              </a:solidFill>
            </a:rPr>
            <a:t> </a:t>
          </a:r>
          <a:r>
            <a:rPr lang="cs-CZ" sz="800">
              <a:solidFill>
                <a:schemeClr val="tx1">
                  <a:lumMod val="50000"/>
                  <a:lumOff val="50000"/>
                </a:schemeClr>
              </a:solidFill>
            </a:rPr>
            <a:t>USB is</a:t>
          </a:r>
          <a:r>
            <a:rPr lang="cs-CZ" sz="800" baseline="0">
              <a:solidFill>
                <a:schemeClr val="tx1">
                  <a:lumMod val="50000"/>
                  <a:lumOff val="50000"/>
                </a:schemeClr>
              </a:solidFill>
            </a:rPr>
            <a:t> </a:t>
          </a:r>
          <a:r>
            <a:rPr lang="cs-CZ" sz="800">
              <a:solidFill>
                <a:schemeClr val="tx1">
                  <a:lumMod val="50000"/>
                  <a:lumOff val="50000"/>
                </a:schemeClr>
              </a:solidFill>
            </a:rPr>
            <a:t>15m, audio cable 20m</a:t>
          </a:r>
        </a:p>
        <a:p>
          <a:r>
            <a:rPr lang="cs-CZ" sz="800">
              <a:solidFill>
                <a:schemeClr val="tx1">
                  <a:lumMod val="50000"/>
                  <a:lumOff val="50000"/>
                </a:schemeClr>
              </a:solidFill>
              <a:latin typeface="+mn-lt"/>
              <a:ea typeface="+mn-ea"/>
              <a:cs typeface="+mn-cs"/>
            </a:rPr>
            <a:t>Cables will be</a:t>
          </a:r>
          <a:r>
            <a:rPr lang="cs-CZ" sz="800" baseline="0">
              <a:solidFill>
                <a:schemeClr val="tx1">
                  <a:lumMod val="50000"/>
                  <a:lumOff val="50000"/>
                </a:schemeClr>
              </a:solidFill>
              <a:latin typeface="+mn-lt"/>
              <a:ea typeface="+mn-ea"/>
              <a:cs typeface="+mn-cs"/>
            </a:rPr>
            <a:t> run through prepared sleeve or through other means from the chosen profile - customer is responsible for site preparedness (sleeves)</a:t>
          </a:r>
          <a:endParaRPr lang="en-US" sz="800">
            <a:solidFill>
              <a:schemeClr val="tx1">
                <a:lumMod val="50000"/>
                <a:lumOff val="50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358140</xdr:colOff>
          <xdr:row>49</xdr:row>
          <xdr:rowOff>99060</xdr:rowOff>
        </xdr:from>
        <xdr:to>
          <xdr:col>3</xdr:col>
          <xdr:colOff>129540</xdr:colOff>
          <xdr:row>50</xdr:row>
          <xdr:rowOff>129540</xdr:rowOff>
        </xdr:to>
        <xdr:sp macro="" textlink="">
          <xdr:nvSpPr>
            <xdr:cNvPr id="4122" name="Option Button 26" hidden="1">
              <a:extLst>
                <a:ext uri="{63B3BB69-23CF-44E3-9099-C40C66FF867C}">
                  <a14:compatExt spid="_x0000_s4122"/>
                </a:ext>
                <a:ext uri="{FF2B5EF4-FFF2-40B4-BE49-F238E27FC236}">
                  <a16:creationId xmlns:a16="http://schemas.microsoft.com/office/drawing/2014/main" id="{00000000-0008-0000-02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Standard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350520</xdr:colOff>
          <xdr:row>51</xdr:row>
          <xdr:rowOff>68580</xdr:rowOff>
        </xdr:from>
        <xdr:to>
          <xdr:col>3</xdr:col>
          <xdr:colOff>121920</xdr:colOff>
          <xdr:row>52</xdr:row>
          <xdr:rowOff>91440</xdr:rowOff>
        </xdr:to>
        <xdr:sp macro="" textlink="">
          <xdr:nvSpPr>
            <xdr:cNvPr id="4123" name="Option 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Extra cables</a:t>
              </a:r>
            </a:p>
          </xdr:txBody>
        </xdr:sp>
        <xdr:clientData/>
      </xdr:twoCellAnchor>
    </mc:Choice>
    <mc:Fallback/>
  </mc:AlternateContent>
  <xdr:twoCellAnchor>
    <xdr:from>
      <xdr:col>1</xdr:col>
      <xdr:colOff>501651</xdr:colOff>
      <xdr:row>60</xdr:row>
      <xdr:rowOff>134222</xdr:rowOff>
    </xdr:from>
    <xdr:to>
      <xdr:col>7</xdr:col>
      <xdr:colOff>57150</xdr:colOff>
      <xdr:row>62</xdr:row>
      <xdr:rowOff>0</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1111251" y="11747102"/>
          <a:ext cx="3197859" cy="231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All of the copmponents are inside</a:t>
          </a:r>
          <a:r>
            <a:rPr lang="cs-CZ" sz="800" baseline="0">
              <a:solidFill>
                <a:schemeClr val="tx1">
                  <a:lumMod val="50000"/>
                  <a:lumOff val="50000"/>
                </a:schemeClr>
              </a:solidFill>
            </a:rPr>
            <a:t> the partition, accessed per standard</a:t>
          </a:r>
          <a:endParaRPr lang="en-US" sz="800">
            <a:solidFill>
              <a:schemeClr val="tx1">
                <a:lumMod val="50000"/>
                <a:lumOff val="50000"/>
              </a:schemeClr>
            </a:solidFill>
            <a:latin typeface="+mn-lt"/>
            <a:ea typeface="+mn-ea"/>
            <a:cs typeface="+mn-cs"/>
          </a:endParaRPr>
        </a:p>
      </xdr:txBody>
    </xdr:sp>
    <xdr:clientData/>
  </xdr:twoCellAnchor>
  <xdr:twoCellAnchor>
    <xdr:from>
      <xdr:col>1</xdr:col>
      <xdr:colOff>495301</xdr:colOff>
      <xdr:row>62</xdr:row>
      <xdr:rowOff>165971</xdr:rowOff>
    </xdr:from>
    <xdr:to>
      <xdr:col>7</xdr:col>
      <xdr:colOff>12700</xdr:colOff>
      <xdr:row>64</xdr:row>
      <xdr:rowOff>25400</xdr:rowOff>
    </xdr:to>
    <xdr:sp macro="" textlink="">
      <xdr:nvSpPr>
        <xdr:cNvPr id="42" name="TextBox 41">
          <a:extLst>
            <a:ext uri="{FF2B5EF4-FFF2-40B4-BE49-F238E27FC236}">
              <a16:creationId xmlns:a16="http://schemas.microsoft.com/office/drawing/2014/main" id="{00000000-0008-0000-0200-00002A000000}"/>
            </a:ext>
          </a:extLst>
        </xdr:cNvPr>
        <xdr:cNvSpPr txBox="1"/>
      </xdr:nvSpPr>
      <xdr:spPr>
        <a:xfrm>
          <a:off x="1104901" y="12144611"/>
          <a:ext cx="3159759" cy="225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Access is required from the</a:t>
          </a:r>
          <a:r>
            <a:rPr lang="cs-CZ" sz="800" baseline="0">
              <a:solidFill>
                <a:schemeClr val="tx1">
                  <a:lumMod val="50000"/>
                  <a:lumOff val="50000"/>
                </a:schemeClr>
              </a:solidFill>
            </a:rPr>
            <a:t> other side or from other adjacent module</a:t>
          </a:r>
          <a:endParaRPr lang="en-US" sz="800">
            <a:solidFill>
              <a:schemeClr val="tx1">
                <a:lumMod val="50000"/>
                <a:lumOff val="50000"/>
              </a:schemeClr>
            </a:solidFill>
            <a:latin typeface="+mn-lt"/>
            <a:ea typeface="+mn-ea"/>
            <a:cs typeface="+mn-cs"/>
          </a:endParaRPr>
        </a:p>
      </xdr:txBody>
    </xdr:sp>
    <xdr:clientData/>
  </xdr:twoCellAnchor>
  <xdr:twoCellAnchor>
    <xdr:from>
      <xdr:col>1</xdr:col>
      <xdr:colOff>495301</xdr:colOff>
      <xdr:row>65</xdr:row>
      <xdr:rowOff>26272</xdr:rowOff>
    </xdr:from>
    <xdr:to>
      <xdr:col>7</xdr:col>
      <xdr:colOff>19050</xdr:colOff>
      <xdr:row>69</xdr:row>
      <xdr:rowOff>0</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1104901" y="12618322"/>
          <a:ext cx="3181349" cy="7547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Components</a:t>
          </a:r>
          <a:r>
            <a:rPr lang="cs-CZ" sz="800" baseline="0">
              <a:solidFill>
                <a:schemeClr val="tx1">
                  <a:lumMod val="50000"/>
                  <a:lumOff val="50000"/>
                </a:schemeClr>
              </a:solidFill>
            </a:rPr>
            <a:t> are placed in a stainless steel suspension box, and attached under a conference table, inside a cupboard, etc. </a:t>
          </a:r>
          <a:r>
            <a:rPr lang="cs-CZ" sz="800" b="1">
              <a:solidFill>
                <a:schemeClr val="tx1">
                  <a:lumMod val="50000"/>
                  <a:lumOff val="50000"/>
                </a:schemeClr>
              </a:solidFill>
              <a:latin typeface="+mn-lt"/>
              <a:ea typeface="+mn-ea"/>
              <a:cs typeface="+mn-cs"/>
            </a:rPr>
            <a:t>Customer guarantees </a:t>
          </a:r>
          <a:r>
            <a:rPr lang="cs-CZ" sz="800" baseline="0">
              <a:solidFill>
                <a:schemeClr val="tx1">
                  <a:lumMod val="50000"/>
                  <a:lumOff val="50000"/>
                </a:schemeClr>
              </a:solidFill>
              <a:latin typeface="+mn-lt"/>
              <a:ea typeface="+mn-ea"/>
              <a:cs typeface="+mn-cs"/>
            </a:rPr>
            <a:t> that a sleeve for cables is prepared on-site, leading from the frame opening (or other place in the partition frame) directly to the desired location. The sleeve must be empty and 60 mm in diameter. </a:t>
          </a:r>
          <a:endParaRPr lang="cs-CZ" sz="800">
            <a:solidFill>
              <a:schemeClr val="tx1">
                <a:lumMod val="50000"/>
                <a:lumOff val="50000"/>
              </a:schemeClr>
            </a:solidFill>
          </a:endParaRPr>
        </a:p>
      </xdr:txBody>
    </xdr:sp>
    <xdr:clientData/>
  </xdr:twoCellAnchor>
  <xdr:oneCellAnchor>
    <xdr:from>
      <xdr:col>1</xdr:col>
      <xdr:colOff>462915</xdr:colOff>
      <xdr:row>53</xdr:row>
      <xdr:rowOff>277812</xdr:rowOff>
    </xdr:from>
    <xdr:ext cx="1281430" cy="217560"/>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1074103" y="10453687"/>
          <a:ext cx="1281430"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cs-CZ" sz="800">
              <a:solidFill>
                <a:schemeClr val="tx1">
                  <a:lumMod val="50000"/>
                  <a:lumOff val="50000"/>
                </a:schemeClr>
              </a:solidFill>
            </a:rPr>
            <a:t>High speeds </a:t>
          </a:r>
          <a:r>
            <a:rPr lang="cs-CZ" sz="800" baseline="0">
              <a:solidFill>
                <a:schemeClr val="tx1">
                  <a:lumMod val="50000"/>
                  <a:lumOff val="50000"/>
                </a:schemeClr>
              </a:solidFill>
            </a:rPr>
            <a:t>4Kx2K@60Hz</a:t>
          </a:r>
          <a:endParaRPr lang="en-US" sz="800">
            <a:solidFill>
              <a:schemeClr val="tx1">
                <a:lumMod val="50000"/>
                <a:lumOff val="50000"/>
              </a:schemeClr>
            </a:solidFill>
            <a:latin typeface="+mn-lt"/>
            <a:ea typeface="+mn-ea"/>
            <a:cs typeface="+mn-cs"/>
          </a:endParaRPr>
        </a:p>
      </xdr:txBody>
    </xdr:sp>
    <xdr:clientData/>
  </xdr:oneCellAnchor>
  <xdr:oneCellAnchor>
    <xdr:from>
      <xdr:col>1</xdr:col>
      <xdr:colOff>454025</xdr:colOff>
      <xdr:row>54</xdr:row>
      <xdr:rowOff>116522</xdr:rowOff>
    </xdr:from>
    <xdr:ext cx="819784" cy="217560"/>
    <xdr:sp macro="" textlink="">
      <xdr:nvSpPr>
        <xdr:cNvPr id="45" name="TextBox 44">
          <a:extLst>
            <a:ext uri="{FF2B5EF4-FFF2-40B4-BE49-F238E27FC236}">
              <a16:creationId xmlns:a16="http://schemas.microsoft.com/office/drawing/2014/main" id="{00000000-0008-0000-0200-00002D000000}"/>
            </a:ext>
          </a:extLst>
        </xdr:cNvPr>
        <xdr:cNvSpPr txBox="1"/>
      </xdr:nvSpPr>
      <xdr:spPr>
        <a:xfrm>
          <a:off x="1065213" y="10609897"/>
          <a:ext cx="819784"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cs-CZ" sz="800">
              <a:solidFill>
                <a:schemeClr val="tx1">
                  <a:lumMod val="50000"/>
                  <a:lumOff val="50000"/>
                </a:schemeClr>
              </a:solidFill>
            </a:rPr>
            <a:t>Type A 3.0</a:t>
          </a:r>
          <a:r>
            <a:rPr lang="cs-CZ" sz="800" baseline="0">
              <a:solidFill>
                <a:schemeClr val="tx1">
                  <a:lumMod val="50000"/>
                  <a:lumOff val="50000"/>
                </a:schemeClr>
              </a:solidFill>
            </a:rPr>
            <a:t> or C</a:t>
          </a:r>
          <a:endParaRPr lang="en-US" sz="800">
            <a:solidFill>
              <a:schemeClr val="tx1">
                <a:lumMod val="50000"/>
                <a:lumOff val="50000"/>
              </a:schemeClr>
            </a:solidFill>
            <a:latin typeface="+mn-lt"/>
            <a:ea typeface="+mn-ea"/>
            <a:cs typeface="+mn-cs"/>
          </a:endParaRPr>
        </a:p>
      </xdr:txBody>
    </xdr:sp>
    <xdr:clientData/>
  </xdr:oneCellAnchor>
  <mc:AlternateContent xmlns:mc="http://schemas.openxmlformats.org/markup-compatibility/2006">
    <mc:Choice xmlns:a14="http://schemas.microsoft.com/office/drawing/2010/main" Requires="a14">
      <xdr:twoCellAnchor editAs="oneCell">
        <xdr:from>
          <xdr:col>1</xdr:col>
          <xdr:colOff>228600</xdr:colOff>
          <xdr:row>59</xdr:row>
          <xdr:rowOff>76200</xdr:rowOff>
        </xdr:from>
        <xdr:to>
          <xdr:col>7</xdr:col>
          <xdr:colOff>129540</xdr:colOff>
          <xdr:row>69</xdr:row>
          <xdr:rowOff>53340</xdr:rowOff>
        </xdr:to>
        <xdr:sp macro="" textlink="">
          <xdr:nvSpPr>
            <xdr:cNvPr id="4124" name="Group Box 28" hidden="1">
              <a:extLst>
                <a:ext uri="{63B3BB69-23CF-44E3-9099-C40C66FF867C}">
                  <a14:compatExt spid="_x0000_s4124"/>
                </a:ext>
                <a:ext uri="{FF2B5EF4-FFF2-40B4-BE49-F238E27FC236}">
                  <a16:creationId xmlns:a16="http://schemas.microsoft.com/office/drawing/2014/main" id="{00000000-0008-0000-0200-00001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358140</xdr:colOff>
          <xdr:row>59</xdr:row>
          <xdr:rowOff>167640</xdr:rowOff>
        </xdr:from>
        <xdr:to>
          <xdr:col>4</xdr:col>
          <xdr:colOff>594360</xdr:colOff>
          <xdr:row>61</xdr:row>
          <xdr:rowOff>22860</xdr:rowOff>
        </xdr:to>
        <xdr:sp macro="" textlink="">
          <xdr:nvSpPr>
            <xdr:cNvPr id="4125" name="Option 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Standard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365760</xdr:colOff>
          <xdr:row>61</xdr:row>
          <xdr:rowOff>167640</xdr:rowOff>
        </xdr:from>
        <xdr:to>
          <xdr:col>5</xdr:col>
          <xdr:colOff>426720</xdr:colOff>
          <xdr:row>63</xdr:row>
          <xdr:rowOff>68580</xdr:rowOff>
        </xdr:to>
        <xdr:sp macro="" textlink="">
          <xdr:nvSpPr>
            <xdr:cNvPr id="4126" name="Option Button 30" hidden="1">
              <a:extLst>
                <a:ext uri="{63B3BB69-23CF-44E3-9099-C40C66FF867C}">
                  <a14:compatExt spid="_x0000_s4126"/>
                </a:ext>
                <a:ext uri="{FF2B5EF4-FFF2-40B4-BE49-F238E27FC236}">
                  <a16:creationId xmlns:a16="http://schemas.microsoft.com/office/drawing/2014/main" id="{00000000-0008-0000-02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Modified access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365760</xdr:colOff>
          <xdr:row>64</xdr:row>
          <xdr:rowOff>22860</xdr:rowOff>
        </xdr:from>
        <xdr:to>
          <xdr:col>6</xdr:col>
          <xdr:colOff>144780</xdr:colOff>
          <xdr:row>65</xdr:row>
          <xdr:rowOff>83820</xdr:rowOff>
        </xdr:to>
        <xdr:sp macro="" textlink="">
          <xdr:nvSpPr>
            <xdr:cNvPr id="4127" name="Option Button 31" hidden="1">
              <a:extLst>
                <a:ext uri="{63B3BB69-23CF-44E3-9099-C40C66FF867C}">
                  <a14:compatExt spid="_x0000_s4127"/>
                </a:ext>
                <a:ext uri="{FF2B5EF4-FFF2-40B4-BE49-F238E27FC236}">
                  <a16:creationId xmlns:a16="http://schemas.microsoft.com/office/drawing/2014/main" id="{00000000-0008-0000-02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In the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220980</xdr:colOff>
          <xdr:row>43</xdr:row>
          <xdr:rowOff>30480</xdr:rowOff>
        </xdr:from>
        <xdr:to>
          <xdr:col>7</xdr:col>
          <xdr:colOff>190500</xdr:colOff>
          <xdr:row>47</xdr:row>
          <xdr:rowOff>205740</xdr:rowOff>
        </xdr:to>
        <xdr:sp macro="" textlink="">
          <xdr:nvSpPr>
            <xdr:cNvPr id="4128" name="Group Box 32" hidden="1">
              <a:extLst>
                <a:ext uri="{63B3BB69-23CF-44E3-9099-C40C66FF867C}">
                  <a14:compatExt spid="_x0000_s4128"/>
                </a:ext>
                <a:ext uri="{FF2B5EF4-FFF2-40B4-BE49-F238E27FC236}">
                  <a16:creationId xmlns:a16="http://schemas.microsoft.com/office/drawing/2014/main" id="{00000000-0008-0000-0200-000020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358140</xdr:colOff>
          <xdr:row>43</xdr:row>
          <xdr:rowOff>152400</xdr:rowOff>
        </xdr:from>
        <xdr:to>
          <xdr:col>6</xdr:col>
          <xdr:colOff>205740</xdr:colOff>
          <xdr:row>45</xdr:row>
          <xdr:rowOff>7620</xdr:rowOff>
        </xdr:to>
        <xdr:sp macro="" textlink="">
          <xdr:nvSpPr>
            <xdr:cNvPr id="4129" name="Option 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Standard (3) - 1x POWER button, 1x HDMI 2.0, 1x USB 3.0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358140</xdr:colOff>
          <xdr:row>44</xdr:row>
          <xdr:rowOff>160020</xdr:rowOff>
        </xdr:from>
        <xdr:to>
          <xdr:col>3</xdr:col>
          <xdr:colOff>434340</xdr:colOff>
          <xdr:row>46</xdr:row>
          <xdr:rowOff>15240</xdr:rowOff>
        </xdr:to>
        <xdr:sp macro="" textlink="">
          <xdr:nvSpPr>
            <xdr:cNvPr id="4130" name="Option Button 34"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Extra ports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312420</xdr:colOff>
          <xdr:row>44</xdr:row>
          <xdr:rowOff>160020</xdr:rowOff>
        </xdr:from>
        <xdr:to>
          <xdr:col>4</xdr:col>
          <xdr:colOff>251460</xdr:colOff>
          <xdr:row>46</xdr:row>
          <xdr:rowOff>15240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HDMI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44</xdr:row>
          <xdr:rowOff>167640</xdr:rowOff>
        </xdr:from>
        <xdr:to>
          <xdr:col>5</xdr:col>
          <xdr:colOff>160020</xdr:colOff>
          <xdr:row>46</xdr:row>
          <xdr:rowOff>22860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44</xdr:row>
          <xdr:rowOff>160020</xdr:rowOff>
        </xdr:from>
        <xdr:to>
          <xdr:col>5</xdr:col>
          <xdr:colOff>594360</xdr:colOff>
          <xdr:row>46</xdr:row>
          <xdr:rowOff>15240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2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43</xdr:row>
          <xdr:rowOff>22860</xdr:rowOff>
        </xdr:from>
        <xdr:to>
          <xdr:col>10</xdr:col>
          <xdr:colOff>419100</xdr:colOff>
          <xdr:row>47</xdr:row>
          <xdr:rowOff>205740</xdr:rowOff>
        </xdr:to>
        <xdr:sp macro="" textlink="">
          <xdr:nvSpPr>
            <xdr:cNvPr id="4134" name="Group Box 38" hidden="1">
              <a:extLst>
                <a:ext uri="{63B3BB69-23CF-44E3-9099-C40C66FF867C}">
                  <a14:compatExt spid="_x0000_s4134"/>
                </a:ext>
                <a:ext uri="{FF2B5EF4-FFF2-40B4-BE49-F238E27FC236}">
                  <a16:creationId xmlns:a16="http://schemas.microsoft.com/office/drawing/2014/main" id="{00000000-0008-0000-0200-000026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129540</xdr:colOff>
          <xdr:row>43</xdr:row>
          <xdr:rowOff>99060</xdr:rowOff>
        </xdr:from>
        <xdr:to>
          <xdr:col>10</xdr:col>
          <xdr:colOff>228600</xdr:colOff>
          <xdr:row>44</xdr:row>
          <xdr:rowOff>137160</xdr:rowOff>
        </xdr:to>
        <xdr:sp macro="" textlink="">
          <xdr:nvSpPr>
            <xdr:cNvPr id="4135" name="Option Button 39" hidden="1">
              <a:extLst>
                <a:ext uri="{63B3BB69-23CF-44E3-9099-C40C66FF867C}">
                  <a14:compatExt spid="_x0000_s4135"/>
                </a:ext>
                <a:ext uri="{FF2B5EF4-FFF2-40B4-BE49-F238E27FC236}">
                  <a16:creationId xmlns:a16="http://schemas.microsoft.com/office/drawing/2014/main" id="{00000000-0008-0000-02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Standard</a:t>
              </a:r>
            </a:p>
          </xdr:txBody>
        </xdr:sp>
        <xdr:clientData/>
      </xdr:twoCellAnchor>
    </mc:Choice>
    <mc:Fallback/>
  </mc:AlternateContent>
  <xdr:oneCellAnchor>
    <xdr:from>
      <xdr:col>8</xdr:col>
      <xdr:colOff>261409</xdr:colOff>
      <xdr:row>44</xdr:row>
      <xdr:rowOff>68790</xdr:rowOff>
    </xdr:from>
    <xdr:ext cx="1364191" cy="343960"/>
    <xdr:sp macro="" textlink="">
      <xdr:nvSpPr>
        <xdr:cNvPr id="58" name="TextBox 57">
          <a:extLst>
            <a:ext uri="{FF2B5EF4-FFF2-40B4-BE49-F238E27FC236}">
              <a16:creationId xmlns:a16="http://schemas.microsoft.com/office/drawing/2014/main" id="{00000000-0008-0000-0200-00003A000000}"/>
            </a:ext>
          </a:extLst>
        </xdr:cNvPr>
        <xdr:cNvSpPr txBox="1"/>
      </xdr:nvSpPr>
      <xdr:spPr>
        <a:xfrm>
          <a:off x="4973109" y="8349190"/>
          <a:ext cx="1364191" cy="343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latin typeface="+mn-lt"/>
              <a:ea typeface="+mn-ea"/>
              <a:cs typeface="+mn-cs"/>
            </a:rPr>
            <a:t>Anti-reflective,</a:t>
          </a:r>
          <a:r>
            <a:rPr lang="cs-CZ" sz="800" baseline="0">
              <a:solidFill>
                <a:schemeClr val="tx1">
                  <a:lumMod val="50000"/>
                  <a:lumOff val="50000"/>
                </a:schemeClr>
              </a:solidFill>
              <a:latin typeface="+mn-lt"/>
              <a:ea typeface="+mn-ea"/>
              <a:cs typeface="+mn-cs"/>
            </a:rPr>
            <a:t> hydrophobic treatment for touch control</a:t>
          </a:r>
          <a:endParaRPr lang="en-US" sz="800">
            <a:solidFill>
              <a:schemeClr val="tx1">
                <a:lumMod val="50000"/>
                <a:lumOff val="50000"/>
              </a:schemeClr>
            </a:solidFill>
            <a:latin typeface="+mn-lt"/>
            <a:ea typeface="+mn-ea"/>
            <a:cs typeface="+mn-cs"/>
          </a:endParaRPr>
        </a:p>
      </xdr:txBody>
    </xdr:sp>
    <xdr:clientData/>
  </xdr:oneCellAnchor>
  <mc:AlternateContent xmlns:mc="http://schemas.openxmlformats.org/markup-compatibility/2006">
    <mc:Choice xmlns:a14="http://schemas.microsoft.com/office/drawing/2010/main" Requires="a14">
      <xdr:twoCellAnchor editAs="oneCell">
        <xdr:from>
          <xdr:col>8</xdr:col>
          <xdr:colOff>129540</xdr:colOff>
          <xdr:row>45</xdr:row>
          <xdr:rowOff>175260</xdr:rowOff>
        </xdr:from>
        <xdr:to>
          <xdr:col>10</xdr:col>
          <xdr:colOff>190500</xdr:colOff>
          <xdr:row>47</xdr:row>
          <xdr:rowOff>30480</xdr:rowOff>
        </xdr:to>
        <xdr:sp macro="" textlink="">
          <xdr:nvSpPr>
            <xdr:cNvPr id="4136" name="Option Button 40" hidden="1">
              <a:extLst>
                <a:ext uri="{63B3BB69-23CF-44E3-9099-C40C66FF867C}">
                  <a14:compatExt spid="_x0000_s4136"/>
                </a:ext>
                <a:ext uri="{FF2B5EF4-FFF2-40B4-BE49-F238E27FC236}">
                  <a16:creationId xmlns:a16="http://schemas.microsoft.com/office/drawing/2014/main" id="{00000000-0008-0000-02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Sklo</a:t>
              </a:r>
            </a:p>
          </xdr:txBody>
        </xdr:sp>
        <xdr:clientData/>
      </xdr:twoCellAnchor>
    </mc:Choice>
    <mc:Fallback/>
  </mc:AlternateContent>
  <xdr:oneCellAnchor>
    <xdr:from>
      <xdr:col>8</xdr:col>
      <xdr:colOff>261409</xdr:colOff>
      <xdr:row>46</xdr:row>
      <xdr:rowOff>144990</xdr:rowOff>
    </xdr:from>
    <xdr:ext cx="1313391" cy="159810"/>
    <xdr:sp macro="" textlink="">
      <xdr:nvSpPr>
        <xdr:cNvPr id="60" name="TextBox 59">
          <a:extLst>
            <a:ext uri="{FF2B5EF4-FFF2-40B4-BE49-F238E27FC236}">
              <a16:creationId xmlns:a16="http://schemas.microsoft.com/office/drawing/2014/main" id="{00000000-0008-0000-0200-00003C000000}"/>
            </a:ext>
          </a:extLst>
        </xdr:cNvPr>
        <xdr:cNvSpPr txBox="1"/>
      </xdr:nvSpPr>
      <xdr:spPr>
        <a:xfrm>
          <a:off x="4973109" y="8793690"/>
          <a:ext cx="1313391" cy="159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Extra clear</a:t>
          </a:r>
          <a:r>
            <a:rPr lang="cs-CZ" sz="800" baseline="0">
              <a:solidFill>
                <a:schemeClr val="tx1">
                  <a:lumMod val="50000"/>
                  <a:lumOff val="50000"/>
                </a:schemeClr>
              </a:solidFill>
            </a:rPr>
            <a:t>, more reflective</a:t>
          </a:r>
          <a:endParaRPr lang="en-US" sz="800">
            <a:solidFill>
              <a:schemeClr val="tx1">
                <a:lumMod val="50000"/>
                <a:lumOff val="50000"/>
              </a:schemeClr>
            </a:solidFill>
            <a:latin typeface="+mn-lt"/>
            <a:ea typeface="+mn-ea"/>
            <a:cs typeface="+mn-cs"/>
          </a:endParaRPr>
        </a:p>
      </xdr:txBody>
    </xdr:sp>
    <xdr:clientData/>
  </xdr:oneCellAnchor>
  <mc:AlternateContent xmlns:mc="http://schemas.openxmlformats.org/markup-compatibility/2006">
    <mc:Choice xmlns:a14="http://schemas.microsoft.com/office/drawing/2010/main" Requires="a14">
      <xdr:twoCellAnchor editAs="oneCell">
        <xdr:from>
          <xdr:col>8</xdr:col>
          <xdr:colOff>15240</xdr:colOff>
          <xdr:row>49</xdr:row>
          <xdr:rowOff>60960</xdr:rowOff>
        </xdr:from>
        <xdr:to>
          <xdr:col>10</xdr:col>
          <xdr:colOff>411480</xdr:colOff>
          <xdr:row>63</xdr:row>
          <xdr:rowOff>129540</xdr:rowOff>
        </xdr:to>
        <xdr:sp macro="" textlink="">
          <xdr:nvSpPr>
            <xdr:cNvPr id="4137" name="Group Box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50</xdr:row>
          <xdr:rowOff>60960</xdr:rowOff>
        </xdr:from>
        <xdr:to>
          <xdr:col>10</xdr:col>
          <xdr:colOff>205740</xdr:colOff>
          <xdr:row>51</xdr:row>
          <xdr:rowOff>76200</xdr:rowOff>
        </xdr:to>
        <xdr:sp macro="" textlink="">
          <xdr:nvSpPr>
            <xdr:cNvPr id="4138" name="Option Button 42" hidden="1">
              <a:extLst>
                <a:ext uri="{63B3BB69-23CF-44E3-9099-C40C66FF867C}">
                  <a14:compatExt spid="_x0000_s4138"/>
                </a:ext>
                <a:ext uri="{FF2B5EF4-FFF2-40B4-BE49-F238E27FC236}">
                  <a16:creationId xmlns:a16="http://schemas.microsoft.com/office/drawing/2014/main" id="{00000000-0008-0000-02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Standard - black frame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50</xdr:row>
          <xdr:rowOff>175260</xdr:rowOff>
        </xdr:from>
        <xdr:to>
          <xdr:col>10</xdr:col>
          <xdr:colOff>320040</xdr:colOff>
          <xdr:row>53</xdr:row>
          <xdr:rowOff>15240</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2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Standard - milky frame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52</xdr:row>
          <xdr:rowOff>106680</xdr:rowOff>
        </xdr:from>
        <xdr:to>
          <xdr:col>10</xdr:col>
          <xdr:colOff>320040</xdr:colOff>
          <xdr:row>53</xdr:row>
          <xdr:rowOff>137160</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Customer chooses color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83820</xdr:colOff>
          <xdr:row>54</xdr:row>
          <xdr:rowOff>68580</xdr:rowOff>
        </xdr:from>
        <xdr:to>
          <xdr:col>10</xdr:col>
          <xdr:colOff>297180</xdr:colOff>
          <xdr:row>55</xdr:row>
          <xdr:rowOff>137160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Any other design</a:t>
              </a:r>
            </a:p>
          </xdr:txBody>
        </xdr:sp>
        <xdr:clientData/>
      </xdr:twoCellAnchor>
    </mc:Choice>
    <mc:Fallback/>
  </mc:AlternateContent>
  <xdr:oneCellAnchor>
    <xdr:from>
      <xdr:col>8</xdr:col>
      <xdr:colOff>210609</xdr:colOff>
      <xdr:row>55</xdr:row>
      <xdr:rowOff>81490</xdr:rowOff>
    </xdr:from>
    <xdr:ext cx="1313391" cy="464610"/>
    <xdr:sp macro="" textlink="">
      <xdr:nvSpPr>
        <xdr:cNvPr id="66" name="TextBox 65">
          <a:extLst>
            <a:ext uri="{FF2B5EF4-FFF2-40B4-BE49-F238E27FC236}">
              <a16:creationId xmlns:a16="http://schemas.microsoft.com/office/drawing/2014/main" id="{00000000-0008-0000-0200-000042000000}"/>
            </a:ext>
          </a:extLst>
        </xdr:cNvPr>
        <xdr:cNvSpPr txBox="1"/>
      </xdr:nvSpPr>
      <xdr:spPr>
        <a:xfrm>
          <a:off x="4922309" y="10781240"/>
          <a:ext cx="1313391" cy="464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Frame contains design and/or logo supplied by customer</a:t>
          </a:r>
          <a:endParaRPr lang="en-US" sz="800">
            <a:solidFill>
              <a:schemeClr val="tx1">
                <a:lumMod val="50000"/>
                <a:lumOff val="50000"/>
              </a:schemeClr>
            </a:solidFill>
            <a:latin typeface="+mn-lt"/>
            <a:ea typeface="+mn-ea"/>
            <a:cs typeface="+mn-cs"/>
          </a:endParaRPr>
        </a:p>
      </xdr:txBody>
    </xdr:sp>
    <xdr:clientData/>
  </xdr:oneCellAnchor>
  <mc:AlternateContent xmlns:mc="http://schemas.openxmlformats.org/markup-compatibility/2006">
    <mc:Choice xmlns:a14="http://schemas.microsoft.com/office/drawing/2010/main" Requires="a14">
      <xdr:twoCellAnchor editAs="oneCell">
        <xdr:from>
          <xdr:col>8</xdr:col>
          <xdr:colOff>106680</xdr:colOff>
          <xdr:row>58</xdr:row>
          <xdr:rowOff>22860</xdr:rowOff>
        </xdr:from>
        <xdr:to>
          <xdr:col>10</xdr:col>
          <xdr:colOff>91440</xdr:colOff>
          <xdr:row>58</xdr:row>
          <xdr:rowOff>243840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Visualization</a:t>
              </a:r>
            </a:p>
          </xdr:txBody>
        </xdr:sp>
        <xdr:clientData/>
      </xdr:twoCellAnchor>
    </mc:Choice>
    <mc:Fallback/>
  </mc:AlternateContent>
  <xdr:oneCellAnchor>
    <xdr:from>
      <xdr:col>8</xdr:col>
      <xdr:colOff>229659</xdr:colOff>
      <xdr:row>58</xdr:row>
      <xdr:rowOff>170390</xdr:rowOff>
    </xdr:from>
    <xdr:ext cx="1313391" cy="712260"/>
    <xdr:sp macro="" textlink="">
      <xdr:nvSpPr>
        <xdr:cNvPr id="68" name="TextBox 67">
          <a:extLst>
            <a:ext uri="{FF2B5EF4-FFF2-40B4-BE49-F238E27FC236}">
              <a16:creationId xmlns:a16="http://schemas.microsoft.com/office/drawing/2014/main" id="{00000000-0008-0000-0200-000044000000}"/>
            </a:ext>
          </a:extLst>
        </xdr:cNvPr>
        <xdr:cNvSpPr txBox="1"/>
      </xdr:nvSpPr>
      <xdr:spPr>
        <a:xfrm>
          <a:off x="4923579" y="11371790"/>
          <a:ext cx="1313391" cy="712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rPr>
            <a:t>Digital</a:t>
          </a:r>
          <a:r>
            <a:rPr lang="cs-CZ" sz="800" baseline="0">
              <a:solidFill>
                <a:schemeClr val="tx1">
                  <a:lumMod val="50000"/>
                  <a:lumOff val="50000"/>
                </a:schemeClr>
              </a:solidFill>
            </a:rPr>
            <a:t> look of the entire partition, including surroundg modules and frame design based on documents or suggestions supplied by customer</a:t>
          </a:r>
          <a:endParaRPr lang="en-US" sz="800">
            <a:solidFill>
              <a:schemeClr val="tx1">
                <a:lumMod val="50000"/>
                <a:lumOff val="50000"/>
              </a:schemeClr>
            </a:solidFill>
            <a:latin typeface="+mn-lt"/>
            <a:ea typeface="+mn-ea"/>
            <a:cs typeface="+mn-cs"/>
          </a:endParaRPr>
        </a:p>
      </xdr:txBody>
    </xdr:sp>
    <xdr:clientData/>
  </xdr:oneCellAnchor>
  <mc:AlternateContent xmlns:mc="http://schemas.openxmlformats.org/markup-compatibility/2006">
    <mc:Choice xmlns:a14="http://schemas.microsoft.com/office/drawing/2010/main" Requires="a14">
      <xdr:twoCellAnchor editAs="oneCell">
        <xdr:from>
          <xdr:col>8</xdr:col>
          <xdr:colOff>30480</xdr:colOff>
          <xdr:row>66</xdr:row>
          <xdr:rowOff>53340</xdr:rowOff>
        </xdr:from>
        <xdr:to>
          <xdr:col>10</xdr:col>
          <xdr:colOff>411480</xdr:colOff>
          <xdr:row>74</xdr:row>
          <xdr:rowOff>167640</xdr:rowOff>
        </xdr:to>
        <xdr:sp macro="" textlink="">
          <xdr:nvSpPr>
            <xdr:cNvPr id="4143" name="Group Box 47"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General</a:t>
              </a:r>
            </a:p>
          </xdr:txBody>
        </xdr:sp>
        <xdr:clientData/>
      </xdr:twoCellAnchor>
    </mc:Choice>
    <mc:Fallback/>
  </mc:AlternateContent>
  <xdr:oneCellAnchor>
    <xdr:from>
      <xdr:col>8</xdr:col>
      <xdr:colOff>146050</xdr:colOff>
      <xdr:row>67</xdr:row>
      <xdr:rowOff>95250</xdr:rowOff>
    </xdr:from>
    <xdr:ext cx="1313391" cy="1250950"/>
    <xdr:sp macro="" textlink="">
      <xdr:nvSpPr>
        <xdr:cNvPr id="70" name="TextBox 69">
          <a:extLst>
            <a:ext uri="{FF2B5EF4-FFF2-40B4-BE49-F238E27FC236}">
              <a16:creationId xmlns:a16="http://schemas.microsoft.com/office/drawing/2014/main" id="{00000000-0008-0000-0200-000046000000}"/>
            </a:ext>
          </a:extLst>
        </xdr:cNvPr>
        <xdr:cNvSpPr txBox="1"/>
      </xdr:nvSpPr>
      <xdr:spPr>
        <a:xfrm>
          <a:off x="4857750" y="13100050"/>
          <a:ext cx="1313391" cy="1250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800">
              <a:solidFill>
                <a:schemeClr val="tx1">
                  <a:lumMod val="50000"/>
                  <a:lumOff val="50000"/>
                </a:schemeClr>
              </a:solidFill>
              <a:latin typeface="+mn-lt"/>
              <a:ea typeface="+mn-ea"/>
              <a:cs typeface="+mn-cs"/>
            </a:rPr>
            <a:t>Modules adjacent to the S</a:t>
          </a:r>
          <a:r>
            <a:rPr lang="cs-CZ" sz="800" baseline="0">
              <a:solidFill>
                <a:schemeClr val="tx1">
                  <a:lumMod val="50000"/>
                  <a:lumOff val="50000"/>
                </a:schemeClr>
              </a:solidFill>
              <a:latin typeface="+mn-lt"/>
              <a:ea typeface="+mn-ea"/>
              <a:cs typeface="+mn-cs"/>
            </a:rPr>
            <a:t>MART-i-WALL may also be glass and opaque.</a:t>
          </a:r>
        </a:p>
        <a:p>
          <a:endParaRPr lang="cs-CZ" sz="800" baseline="0">
            <a:solidFill>
              <a:schemeClr val="tx1">
                <a:lumMod val="50000"/>
                <a:lumOff val="50000"/>
              </a:schemeClr>
            </a:solidFill>
            <a:latin typeface="+mn-lt"/>
            <a:ea typeface="+mn-ea"/>
            <a:cs typeface="+mn-cs"/>
          </a:endParaRPr>
        </a:p>
        <a:p>
          <a:r>
            <a:rPr lang="cs-CZ" sz="800" baseline="0">
              <a:solidFill>
                <a:schemeClr val="tx1">
                  <a:lumMod val="50000"/>
                  <a:lumOff val="50000"/>
                </a:schemeClr>
              </a:solidFill>
              <a:latin typeface="+mn-lt"/>
              <a:ea typeface="+mn-ea"/>
              <a:cs typeface="+mn-cs"/>
            </a:rPr>
            <a:t>In case of glass walls, we recommend considering adjacent glass modules in colored glass matching the color of the display frame. </a:t>
          </a:r>
          <a:endParaRPr lang="en-US" sz="800">
            <a:solidFill>
              <a:schemeClr val="tx1">
                <a:lumMod val="50000"/>
                <a:lumOff val="50000"/>
              </a:schemeClr>
            </a:solidFill>
            <a:latin typeface="+mn-lt"/>
            <a:ea typeface="+mn-ea"/>
            <a:cs typeface="+mn-cs"/>
          </a:endParaRPr>
        </a:p>
      </xdr:txBody>
    </xdr:sp>
    <xdr:clientData/>
  </xdr:oneCellAnchor>
  <mc:AlternateContent xmlns:mc="http://schemas.openxmlformats.org/markup-compatibility/2006">
    <mc:Choice xmlns:a14="http://schemas.microsoft.com/office/drawing/2010/main" Requires="a14">
      <xdr:twoCellAnchor editAs="oneCell">
        <xdr:from>
          <xdr:col>1</xdr:col>
          <xdr:colOff>236220</xdr:colOff>
          <xdr:row>22</xdr:row>
          <xdr:rowOff>15240</xdr:rowOff>
        </xdr:from>
        <xdr:to>
          <xdr:col>4</xdr:col>
          <xdr:colOff>518160</xdr:colOff>
          <xdr:row>29</xdr:row>
          <xdr:rowOff>152400</xdr:rowOff>
        </xdr:to>
        <xdr:sp macro="" textlink="">
          <xdr:nvSpPr>
            <xdr:cNvPr id="4144" name="Group Box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129540</xdr:colOff>
          <xdr:row>0</xdr:row>
          <xdr:rowOff>38100</xdr:rowOff>
        </xdr:from>
        <xdr:to>
          <xdr:col>10</xdr:col>
          <xdr:colOff>571500</xdr:colOff>
          <xdr:row>1</xdr:row>
          <xdr:rowOff>76200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all choices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39</xdr:row>
          <xdr:rowOff>30480</xdr:rowOff>
        </xdr:from>
        <xdr:to>
          <xdr:col>10</xdr:col>
          <xdr:colOff>175260</xdr:colOff>
          <xdr:row>40</xdr:row>
          <xdr:rowOff>83820</xdr:rowOff>
        </xdr:to>
        <xdr:sp macro="" textlink="">
          <xdr:nvSpPr>
            <xdr:cNvPr id="4146" name="Option 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Both options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205740</xdr:colOff>
          <xdr:row>53</xdr:row>
          <xdr:rowOff>243840</xdr:rowOff>
        </xdr:from>
        <xdr:to>
          <xdr:col>5</xdr:col>
          <xdr:colOff>38100</xdr:colOff>
          <xdr:row>55</xdr:row>
          <xdr:rowOff>15240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5m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601980</xdr:colOff>
          <xdr:row>53</xdr:row>
          <xdr:rowOff>251460</xdr:rowOff>
        </xdr:from>
        <xdr:to>
          <xdr:col>5</xdr:col>
          <xdr:colOff>419100</xdr:colOff>
          <xdr:row>55</xdr:row>
          <xdr:rowOff>15240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2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7m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167640</xdr:colOff>
          <xdr:row>53</xdr:row>
          <xdr:rowOff>243840</xdr:rowOff>
        </xdr:from>
        <xdr:to>
          <xdr:col>6</xdr:col>
          <xdr:colOff>586740</xdr:colOff>
          <xdr:row>55</xdr:row>
          <xdr:rowOff>15240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15m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373380</xdr:colOff>
          <xdr:row>53</xdr:row>
          <xdr:rowOff>259080</xdr:rowOff>
        </xdr:from>
        <xdr:to>
          <xdr:col>6</xdr:col>
          <xdr:colOff>205740</xdr:colOff>
          <xdr:row>55</xdr:row>
          <xdr:rowOff>15240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2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10m</a:t>
              </a:r>
            </a:p>
          </xdr:txBody>
        </xdr:sp>
        <xdr:clientData/>
      </xdr:twoCellAnchor>
    </mc:Choice>
    <mc:Fallback/>
  </mc:AlternateContent>
  <xdr:oneCellAnchor>
    <xdr:from>
      <xdr:col>3</xdr:col>
      <xdr:colOff>418148</xdr:colOff>
      <xdr:row>53</xdr:row>
      <xdr:rowOff>265747</xdr:rowOff>
    </xdr:from>
    <xdr:ext cx="488315" cy="233205"/>
    <xdr:sp macro="" textlink="">
      <xdr:nvSpPr>
        <xdr:cNvPr id="76" name="TextBox 75">
          <a:extLst>
            <a:ext uri="{FF2B5EF4-FFF2-40B4-BE49-F238E27FC236}">
              <a16:creationId xmlns:a16="http://schemas.microsoft.com/office/drawing/2014/main" id="{00000000-0008-0000-0200-00004C000000}"/>
            </a:ext>
          </a:extLst>
        </xdr:cNvPr>
        <xdr:cNvSpPr txBox="1"/>
      </xdr:nvSpPr>
      <xdr:spPr>
        <a:xfrm>
          <a:off x="2251711" y="10441622"/>
          <a:ext cx="48831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r>
            <a:rPr lang="cs-CZ" sz="900">
              <a:solidFill>
                <a:sysClr val="windowText" lastClr="000000"/>
              </a:solidFill>
            </a:rPr>
            <a:t>HDMI</a:t>
          </a:r>
          <a:endParaRPr lang="en-US" sz="900">
            <a:solidFill>
              <a:sysClr val="windowText" lastClr="000000"/>
            </a:solidFill>
            <a:latin typeface="+mn-lt"/>
            <a:ea typeface="+mn-ea"/>
            <a:cs typeface="+mn-cs"/>
          </a:endParaRPr>
        </a:p>
      </xdr:txBody>
    </xdr:sp>
    <xdr:clientData/>
  </xdr:oneCellAnchor>
  <mc:AlternateContent xmlns:mc="http://schemas.openxmlformats.org/markup-compatibility/2006">
    <mc:Choice xmlns:a14="http://schemas.microsoft.com/office/drawing/2010/main" Requires="a14">
      <xdr:twoCellAnchor editAs="oneCell">
        <xdr:from>
          <xdr:col>4</xdr:col>
          <xdr:colOff>205740</xdr:colOff>
          <xdr:row>55</xdr:row>
          <xdr:rowOff>137160</xdr:rowOff>
        </xdr:from>
        <xdr:to>
          <xdr:col>5</xdr:col>
          <xdr:colOff>30480</xdr:colOff>
          <xdr:row>57</xdr:row>
          <xdr:rowOff>60960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2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5m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601980</xdr:colOff>
          <xdr:row>55</xdr:row>
          <xdr:rowOff>129540</xdr:rowOff>
        </xdr:from>
        <xdr:to>
          <xdr:col>5</xdr:col>
          <xdr:colOff>419100</xdr:colOff>
          <xdr:row>57</xdr:row>
          <xdr:rowOff>60960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2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10m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373380</xdr:colOff>
          <xdr:row>55</xdr:row>
          <xdr:rowOff>137160</xdr:rowOff>
        </xdr:from>
        <xdr:to>
          <xdr:col>6</xdr:col>
          <xdr:colOff>205740</xdr:colOff>
          <xdr:row>57</xdr:row>
          <xdr:rowOff>60960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2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15m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167640</xdr:colOff>
          <xdr:row>55</xdr:row>
          <xdr:rowOff>137160</xdr:rowOff>
        </xdr:from>
        <xdr:to>
          <xdr:col>6</xdr:col>
          <xdr:colOff>586740</xdr:colOff>
          <xdr:row>57</xdr:row>
          <xdr:rowOff>60960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2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20m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205740</xdr:colOff>
          <xdr:row>54</xdr:row>
          <xdr:rowOff>114300</xdr:rowOff>
        </xdr:from>
        <xdr:to>
          <xdr:col>5</xdr:col>
          <xdr:colOff>30480</xdr:colOff>
          <xdr:row>56</xdr:row>
          <xdr:rowOff>38100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5m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601980</xdr:colOff>
          <xdr:row>54</xdr:row>
          <xdr:rowOff>99060</xdr:rowOff>
        </xdr:from>
        <xdr:to>
          <xdr:col>5</xdr:col>
          <xdr:colOff>426720</xdr:colOff>
          <xdr:row>56</xdr:row>
          <xdr:rowOff>38100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2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7m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373380</xdr:colOff>
          <xdr:row>54</xdr:row>
          <xdr:rowOff>114300</xdr:rowOff>
        </xdr:from>
        <xdr:to>
          <xdr:col>6</xdr:col>
          <xdr:colOff>205740</xdr:colOff>
          <xdr:row>56</xdr:row>
          <xdr:rowOff>38100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10m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167640</xdr:colOff>
          <xdr:row>54</xdr:row>
          <xdr:rowOff>114300</xdr:rowOff>
        </xdr:from>
        <xdr:to>
          <xdr:col>6</xdr:col>
          <xdr:colOff>586740</xdr:colOff>
          <xdr:row>56</xdr:row>
          <xdr:rowOff>38100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15m</a:t>
              </a:r>
            </a:p>
          </xdr:txBody>
        </xdr:sp>
        <xdr:clientData/>
      </xdr:twoCellAnchor>
    </mc:Choice>
    <mc:Fallback/>
  </mc:AlternateContent>
  <xdr:oneCellAnchor>
    <xdr:from>
      <xdr:col>3</xdr:col>
      <xdr:colOff>418148</xdr:colOff>
      <xdr:row>54</xdr:row>
      <xdr:rowOff>110807</xdr:rowOff>
    </xdr:from>
    <xdr:ext cx="488315" cy="233205"/>
    <xdr:sp macro="" textlink="">
      <xdr:nvSpPr>
        <xdr:cNvPr id="85" name="TextBox 84">
          <a:extLst>
            <a:ext uri="{FF2B5EF4-FFF2-40B4-BE49-F238E27FC236}">
              <a16:creationId xmlns:a16="http://schemas.microsoft.com/office/drawing/2014/main" id="{00000000-0008-0000-0200-000055000000}"/>
            </a:ext>
          </a:extLst>
        </xdr:cNvPr>
        <xdr:cNvSpPr txBox="1"/>
      </xdr:nvSpPr>
      <xdr:spPr>
        <a:xfrm>
          <a:off x="2251711" y="10604182"/>
          <a:ext cx="48831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r>
            <a:rPr lang="cs-CZ" sz="900">
              <a:solidFill>
                <a:sysClr val="windowText" lastClr="000000"/>
              </a:solidFill>
            </a:rPr>
            <a:t>USB</a:t>
          </a:r>
          <a:endParaRPr lang="en-US" sz="900">
            <a:solidFill>
              <a:sysClr val="windowText" lastClr="000000"/>
            </a:solidFill>
            <a:latin typeface="+mn-lt"/>
            <a:ea typeface="+mn-ea"/>
            <a:cs typeface="+mn-cs"/>
          </a:endParaRPr>
        </a:p>
      </xdr:txBody>
    </xdr:sp>
    <xdr:clientData/>
  </xdr:oneCellAnchor>
  <xdr:oneCellAnchor>
    <xdr:from>
      <xdr:col>3</xdr:col>
      <xdr:colOff>341312</xdr:colOff>
      <xdr:row>55</xdr:row>
      <xdr:rowOff>130174</xdr:rowOff>
    </xdr:from>
    <xdr:ext cx="565151" cy="233205"/>
    <xdr:sp macro="" textlink="">
      <xdr:nvSpPr>
        <xdr:cNvPr id="86" name="TextBox 85">
          <a:extLst>
            <a:ext uri="{FF2B5EF4-FFF2-40B4-BE49-F238E27FC236}">
              <a16:creationId xmlns:a16="http://schemas.microsoft.com/office/drawing/2014/main" id="{00000000-0008-0000-0200-000056000000}"/>
            </a:ext>
          </a:extLst>
        </xdr:cNvPr>
        <xdr:cNvSpPr txBox="1"/>
      </xdr:nvSpPr>
      <xdr:spPr>
        <a:xfrm>
          <a:off x="2174875" y="10774362"/>
          <a:ext cx="565151"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r>
            <a:rPr lang="cs-CZ" sz="900">
              <a:solidFill>
                <a:sysClr val="windowText" lastClr="000000"/>
              </a:solidFill>
            </a:rPr>
            <a:t>AUDIO</a:t>
          </a:r>
          <a:endParaRPr lang="en-US" sz="900">
            <a:solidFill>
              <a:sysClr val="windowText" lastClr="000000"/>
            </a:solidFill>
            <a:latin typeface="+mn-lt"/>
            <a:ea typeface="+mn-ea"/>
            <a:cs typeface="+mn-cs"/>
          </a:endParaRPr>
        </a:p>
      </xdr:txBody>
    </xdr:sp>
    <xdr:clientData/>
  </xdr:oneCellAnchor>
  <mc:AlternateContent xmlns:mc="http://schemas.openxmlformats.org/markup-compatibility/2006">
    <mc:Choice xmlns:a14="http://schemas.microsoft.com/office/drawing/2010/main" Requires="a14">
      <xdr:twoCellAnchor editAs="oneCell">
        <xdr:from>
          <xdr:col>1</xdr:col>
          <xdr:colOff>228600</xdr:colOff>
          <xdr:row>71</xdr:row>
          <xdr:rowOff>76200</xdr:rowOff>
        </xdr:from>
        <xdr:to>
          <xdr:col>7</xdr:col>
          <xdr:colOff>129540</xdr:colOff>
          <xdr:row>74</xdr:row>
          <xdr:rowOff>160020</xdr:rowOff>
        </xdr:to>
        <xdr:sp macro="" textlink="">
          <xdr:nvSpPr>
            <xdr:cNvPr id="4159" name="Group Box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likosas.sharepoint.com/sites/550RD/Sdilene%20dokumenty/_AKUSTICKE_BUDKY/_Dokumentace/akusticke_budky_kalkulace_ceny_FINAL_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alkulace"/>
      <sheetName val="Spec."/>
      <sheetName val="Configurations"/>
      <sheetName val="QUOTATION"/>
      <sheetName val="rental price model"/>
      <sheetName val="PROD. LIST"/>
      <sheetName val="Sheet2"/>
    </sheetNames>
    <sheetDataSet>
      <sheetData sheetId="0">
        <row r="1">
          <cell r="J1">
            <v>25.5</v>
          </cell>
        </row>
      </sheetData>
      <sheetData sheetId="1" refreshError="1"/>
      <sheetData sheetId="2"/>
      <sheetData sheetId="3">
        <row r="1">
          <cell r="J1">
            <v>19</v>
          </cell>
        </row>
      </sheetData>
      <sheetData sheetId="4">
        <row r="3">
          <cell r="U3">
            <v>2.5000000000000001E-2</v>
          </cell>
        </row>
        <row r="4">
          <cell r="U4">
            <v>5</v>
          </cell>
        </row>
        <row r="5">
          <cell r="U5">
            <v>0.25</v>
          </cell>
        </row>
      </sheetData>
      <sheetData sheetId="5"/>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2" Type="http://schemas.openxmlformats.org/officeDocument/2006/relationships/drawing" Target="../drawings/drawing2.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96.xml"/><Relationship Id="rId21" Type="http://schemas.openxmlformats.org/officeDocument/2006/relationships/ctrlProp" Target="../ctrlProps/ctrlProp91.xml"/><Relationship Id="rId34" Type="http://schemas.openxmlformats.org/officeDocument/2006/relationships/ctrlProp" Target="../ctrlProps/ctrlProp104.xml"/><Relationship Id="rId42" Type="http://schemas.openxmlformats.org/officeDocument/2006/relationships/ctrlProp" Target="../ctrlProps/ctrlProp112.xml"/><Relationship Id="rId47" Type="http://schemas.openxmlformats.org/officeDocument/2006/relationships/ctrlProp" Target="../ctrlProps/ctrlProp117.xml"/><Relationship Id="rId50" Type="http://schemas.openxmlformats.org/officeDocument/2006/relationships/ctrlProp" Target="../ctrlProps/ctrlProp120.xml"/><Relationship Id="rId55" Type="http://schemas.openxmlformats.org/officeDocument/2006/relationships/ctrlProp" Target="../ctrlProps/ctrlProp125.xml"/><Relationship Id="rId63" Type="http://schemas.openxmlformats.org/officeDocument/2006/relationships/ctrlProp" Target="../ctrlProps/ctrlProp133.xml"/><Relationship Id="rId7" Type="http://schemas.openxmlformats.org/officeDocument/2006/relationships/ctrlProp" Target="../ctrlProps/ctrlProp77.xml"/><Relationship Id="rId2" Type="http://schemas.openxmlformats.org/officeDocument/2006/relationships/drawing" Target="../drawings/drawing3.xml"/><Relationship Id="rId16" Type="http://schemas.openxmlformats.org/officeDocument/2006/relationships/ctrlProp" Target="../ctrlProps/ctrlProp86.xml"/><Relationship Id="rId29" Type="http://schemas.openxmlformats.org/officeDocument/2006/relationships/ctrlProp" Target="../ctrlProps/ctrlProp99.xml"/><Relationship Id="rId11" Type="http://schemas.openxmlformats.org/officeDocument/2006/relationships/ctrlProp" Target="../ctrlProps/ctrlProp81.xml"/><Relationship Id="rId24" Type="http://schemas.openxmlformats.org/officeDocument/2006/relationships/ctrlProp" Target="../ctrlProps/ctrlProp94.xml"/><Relationship Id="rId32" Type="http://schemas.openxmlformats.org/officeDocument/2006/relationships/ctrlProp" Target="../ctrlProps/ctrlProp102.xml"/><Relationship Id="rId37" Type="http://schemas.openxmlformats.org/officeDocument/2006/relationships/ctrlProp" Target="../ctrlProps/ctrlProp107.xml"/><Relationship Id="rId40" Type="http://schemas.openxmlformats.org/officeDocument/2006/relationships/ctrlProp" Target="../ctrlProps/ctrlProp110.xml"/><Relationship Id="rId45" Type="http://schemas.openxmlformats.org/officeDocument/2006/relationships/ctrlProp" Target="../ctrlProps/ctrlProp115.xml"/><Relationship Id="rId53" Type="http://schemas.openxmlformats.org/officeDocument/2006/relationships/ctrlProp" Target="../ctrlProps/ctrlProp123.xml"/><Relationship Id="rId58" Type="http://schemas.openxmlformats.org/officeDocument/2006/relationships/ctrlProp" Target="../ctrlProps/ctrlProp128.xml"/><Relationship Id="rId66" Type="http://schemas.openxmlformats.org/officeDocument/2006/relationships/ctrlProp" Target="../ctrlProps/ctrlProp136.xml"/><Relationship Id="rId5" Type="http://schemas.openxmlformats.org/officeDocument/2006/relationships/ctrlProp" Target="../ctrlProps/ctrlProp75.xml"/><Relationship Id="rId61" Type="http://schemas.openxmlformats.org/officeDocument/2006/relationships/ctrlProp" Target="../ctrlProps/ctrlProp131.xml"/><Relationship Id="rId19" Type="http://schemas.openxmlformats.org/officeDocument/2006/relationships/ctrlProp" Target="../ctrlProps/ctrlProp89.xml"/><Relationship Id="rId14" Type="http://schemas.openxmlformats.org/officeDocument/2006/relationships/ctrlProp" Target="../ctrlProps/ctrlProp84.xml"/><Relationship Id="rId22" Type="http://schemas.openxmlformats.org/officeDocument/2006/relationships/ctrlProp" Target="../ctrlProps/ctrlProp92.xml"/><Relationship Id="rId27" Type="http://schemas.openxmlformats.org/officeDocument/2006/relationships/ctrlProp" Target="../ctrlProps/ctrlProp97.xml"/><Relationship Id="rId30" Type="http://schemas.openxmlformats.org/officeDocument/2006/relationships/ctrlProp" Target="../ctrlProps/ctrlProp100.xml"/><Relationship Id="rId35" Type="http://schemas.openxmlformats.org/officeDocument/2006/relationships/ctrlProp" Target="../ctrlProps/ctrlProp105.xml"/><Relationship Id="rId43" Type="http://schemas.openxmlformats.org/officeDocument/2006/relationships/ctrlProp" Target="../ctrlProps/ctrlProp113.xml"/><Relationship Id="rId48" Type="http://schemas.openxmlformats.org/officeDocument/2006/relationships/ctrlProp" Target="../ctrlProps/ctrlProp118.xml"/><Relationship Id="rId56" Type="http://schemas.openxmlformats.org/officeDocument/2006/relationships/ctrlProp" Target="../ctrlProps/ctrlProp126.xml"/><Relationship Id="rId64" Type="http://schemas.openxmlformats.org/officeDocument/2006/relationships/ctrlProp" Target="../ctrlProps/ctrlProp134.xml"/><Relationship Id="rId8" Type="http://schemas.openxmlformats.org/officeDocument/2006/relationships/ctrlProp" Target="../ctrlProps/ctrlProp78.xml"/><Relationship Id="rId51" Type="http://schemas.openxmlformats.org/officeDocument/2006/relationships/ctrlProp" Target="../ctrlProps/ctrlProp121.xml"/><Relationship Id="rId3" Type="http://schemas.openxmlformats.org/officeDocument/2006/relationships/vmlDrawing" Target="../drawings/vmlDrawing2.vml"/><Relationship Id="rId12" Type="http://schemas.openxmlformats.org/officeDocument/2006/relationships/ctrlProp" Target="../ctrlProps/ctrlProp82.xml"/><Relationship Id="rId17" Type="http://schemas.openxmlformats.org/officeDocument/2006/relationships/ctrlProp" Target="../ctrlProps/ctrlProp87.xml"/><Relationship Id="rId25" Type="http://schemas.openxmlformats.org/officeDocument/2006/relationships/ctrlProp" Target="../ctrlProps/ctrlProp95.xml"/><Relationship Id="rId33" Type="http://schemas.openxmlformats.org/officeDocument/2006/relationships/ctrlProp" Target="../ctrlProps/ctrlProp103.xml"/><Relationship Id="rId38" Type="http://schemas.openxmlformats.org/officeDocument/2006/relationships/ctrlProp" Target="../ctrlProps/ctrlProp108.xml"/><Relationship Id="rId46" Type="http://schemas.openxmlformats.org/officeDocument/2006/relationships/ctrlProp" Target="../ctrlProps/ctrlProp116.xml"/><Relationship Id="rId59" Type="http://schemas.openxmlformats.org/officeDocument/2006/relationships/ctrlProp" Target="../ctrlProps/ctrlProp129.xml"/><Relationship Id="rId20" Type="http://schemas.openxmlformats.org/officeDocument/2006/relationships/ctrlProp" Target="../ctrlProps/ctrlProp90.xml"/><Relationship Id="rId41" Type="http://schemas.openxmlformats.org/officeDocument/2006/relationships/ctrlProp" Target="../ctrlProps/ctrlProp111.xml"/><Relationship Id="rId54" Type="http://schemas.openxmlformats.org/officeDocument/2006/relationships/ctrlProp" Target="../ctrlProps/ctrlProp124.xml"/><Relationship Id="rId62" Type="http://schemas.openxmlformats.org/officeDocument/2006/relationships/ctrlProp" Target="../ctrlProps/ctrlProp132.xml"/><Relationship Id="rId1" Type="http://schemas.openxmlformats.org/officeDocument/2006/relationships/printerSettings" Target="../printerSettings/printerSettings3.bin"/><Relationship Id="rId6" Type="http://schemas.openxmlformats.org/officeDocument/2006/relationships/ctrlProp" Target="../ctrlProps/ctrlProp76.xml"/><Relationship Id="rId15" Type="http://schemas.openxmlformats.org/officeDocument/2006/relationships/ctrlProp" Target="../ctrlProps/ctrlProp85.xml"/><Relationship Id="rId23" Type="http://schemas.openxmlformats.org/officeDocument/2006/relationships/ctrlProp" Target="../ctrlProps/ctrlProp93.xml"/><Relationship Id="rId28" Type="http://schemas.openxmlformats.org/officeDocument/2006/relationships/ctrlProp" Target="../ctrlProps/ctrlProp98.xml"/><Relationship Id="rId36" Type="http://schemas.openxmlformats.org/officeDocument/2006/relationships/ctrlProp" Target="../ctrlProps/ctrlProp106.xml"/><Relationship Id="rId49" Type="http://schemas.openxmlformats.org/officeDocument/2006/relationships/ctrlProp" Target="../ctrlProps/ctrlProp119.xml"/><Relationship Id="rId57" Type="http://schemas.openxmlformats.org/officeDocument/2006/relationships/ctrlProp" Target="../ctrlProps/ctrlProp127.xml"/><Relationship Id="rId10" Type="http://schemas.openxmlformats.org/officeDocument/2006/relationships/ctrlProp" Target="../ctrlProps/ctrlProp80.xml"/><Relationship Id="rId31" Type="http://schemas.openxmlformats.org/officeDocument/2006/relationships/ctrlProp" Target="../ctrlProps/ctrlProp101.xml"/><Relationship Id="rId44" Type="http://schemas.openxmlformats.org/officeDocument/2006/relationships/ctrlProp" Target="../ctrlProps/ctrlProp114.xml"/><Relationship Id="rId52" Type="http://schemas.openxmlformats.org/officeDocument/2006/relationships/ctrlProp" Target="../ctrlProps/ctrlProp122.xml"/><Relationship Id="rId60" Type="http://schemas.openxmlformats.org/officeDocument/2006/relationships/ctrlProp" Target="../ctrlProps/ctrlProp130.xml"/><Relationship Id="rId65" Type="http://schemas.openxmlformats.org/officeDocument/2006/relationships/ctrlProp" Target="../ctrlProps/ctrlProp135.xml"/><Relationship Id="rId4" Type="http://schemas.openxmlformats.org/officeDocument/2006/relationships/ctrlProp" Target="../ctrlProps/ctrlProp74.xml"/><Relationship Id="rId9" Type="http://schemas.openxmlformats.org/officeDocument/2006/relationships/ctrlProp" Target="../ctrlProps/ctrlProp79.xml"/><Relationship Id="rId13" Type="http://schemas.openxmlformats.org/officeDocument/2006/relationships/ctrlProp" Target="../ctrlProps/ctrlProp83.xml"/><Relationship Id="rId18" Type="http://schemas.openxmlformats.org/officeDocument/2006/relationships/ctrlProp" Target="../ctrlProps/ctrlProp88.xml"/><Relationship Id="rId39" Type="http://schemas.openxmlformats.org/officeDocument/2006/relationships/ctrlProp" Target="../ctrlProps/ctrlProp10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62882-6760-473F-8CAB-C1663A208DA7}">
  <sheetPr codeName="Sheet2"/>
  <dimension ref="A1:X57"/>
  <sheetViews>
    <sheetView tabSelected="1" topLeftCell="A7" zoomScaleNormal="100" workbookViewId="0">
      <selection activeCell="K22" sqref="K22"/>
    </sheetView>
  </sheetViews>
  <sheetFormatPr defaultRowHeight="14.4" x14ac:dyDescent="0.3"/>
  <cols>
    <col min="1" max="1" width="14.44140625" customWidth="1"/>
    <col min="2" max="2" width="5.77734375" customWidth="1"/>
    <col min="3" max="3" width="8.88671875" customWidth="1"/>
    <col min="4" max="4" width="10.44140625" customWidth="1"/>
    <col min="5" max="5" width="11.77734375" customWidth="1"/>
    <col min="6" max="6" width="15.77734375" customWidth="1"/>
    <col min="7" max="7" width="15.88671875" customWidth="1"/>
    <col min="8" max="8" width="10.77734375" customWidth="1"/>
    <col min="9" max="9" width="11" customWidth="1"/>
    <col min="10" max="10" width="10.44140625" customWidth="1"/>
    <col min="11" max="11" width="11.44140625" customWidth="1"/>
    <col min="12" max="12" width="10.44140625" customWidth="1"/>
    <col min="13" max="13" width="10.5546875" customWidth="1"/>
    <col min="16" max="20" width="10.5546875" customWidth="1"/>
    <col min="21" max="21" width="3.44140625" customWidth="1"/>
    <col min="22" max="24" width="10.5546875" customWidth="1"/>
    <col min="25" max="25" width="3" customWidth="1"/>
    <col min="26" max="27" width="11" customWidth="1"/>
  </cols>
  <sheetData>
    <row r="1" spans="1:24" ht="21" x14ac:dyDescent="0.4">
      <c r="A1" s="45" t="s">
        <v>86</v>
      </c>
      <c r="B1" s="46"/>
      <c r="C1" s="46"/>
      <c r="D1" s="46"/>
      <c r="E1" s="46"/>
      <c r="F1" s="46"/>
      <c r="G1" s="46"/>
      <c r="H1" s="46"/>
      <c r="I1" s="51"/>
    </row>
    <row r="2" spans="1:24" x14ac:dyDescent="0.3">
      <c r="A2" s="46"/>
      <c r="B2" s="46"/>
      <c r="C2" s="46"/>
      <c r="D2" s="46"/>
      <c r="E2" s="46"/>
      <c r="F2" s="46"/>
      <c r="G2" s="46"/>
      <c r="H2" s="46"/>
      <c r="I2" s="51"/>
      <c r="Q2" s="31" t="s">
        <v>123</v>
      </c>
      <c r="V2" s="31" t="s">
        <v>124</v>
      </c>
    </row>
    <row r="3" spans="1:24" x14ac:dyDescent="0.3">
      <c r="A3" s="46"/>
      <c r="B3" s="46"/>
      <c r="C3" s="46"/>
      <c r="D3" s="46"/>
      <c r="E3" s="46"/>
      <c r="F3" s="46"/>
      <c r="G3" s="46"/>
      <c r="H3" s="46"/>
      <c r="I3" s="51"/>
      <c r="R3" s="71" t="s">
        <v>7</v>
      </c>
      <c r="S3" s="71" t="s">
        <v>8</v>
      </c>
      <c r="T3" s="71" t="s">
        <v>87</v>
      </c>
      <c r="U3" s="72"/>
      <c r="V3" s="71" t="s">
        <v>7</v>
      </c>
      <c r="W3" s="71" t="s">
        <v>8</v>
      </c>
    </row>
    <row r="4" spans="1:24" x14ac:dyDescent="0.3">
      <c r="A4" s="46"/>
      <c r="B4" s="46"/>
      <c r="C4" s="46"/>
      <c r="D4" s="46"/>
      <c r="E4" s="46"/>
      <c r="F4" s="46"/>
      <c r="G4" s="46"/>
      <c r="H4" s="47"/>
      <c r="I4" s="51"/>
      <c r="Q4" s="71" t="s">
        <v>3</v>
      </c>
      <c r="R4" s="7">
        <f t="shared" ref="R4:S7" si="0">V4-$V$8</f>
        <v>-23816</v>
      </c>
      <c r="S4" s="7">
        <f t="shared" si="0"/>
        <v>-22351</v>
      </c>
      <c r="T4" s="7">
        <v>-3000</v>
      </c>
      <c r="V4" s="3">
        <v>13420</v>
      </c>
      <c r="W4" s="3">
        <v>14885</v>
      </c>
    </row>
    <row r="5" spans="1:24" x14ac:dyDescent="0.3">
      <c r="I5" s="39"/>
      <c r="Q5" s="71" t="s">
        <v>4</v>
      </c>
      <c r="R5" s="7">
        <f t="shared" si="0"/>
        <v>-21685</v>
      </c>
      <c r="S5" s="7">
        <f t="shared" si="0"/>
        <v>-20353</v>
      </c>
      <c r="T5" s="7">
        <v>-2500</v>
      </c>
      <c r="V5" s="3">
        <v>15551</v>
      </c>
      <c r="W5" s="3">
        <v>16883</v>
      </c>
    </row>
    <row r="6" spans="1:24" x14ac:dyDescent="0.3">
      <c r="A6" s="93" t="s">
        <v>86</v>
      </c>
      <c r="B6" s="93"/>
      <c r="C6" s="93"/>
      <c r="D6" s="93"/>
      <c r="E6" s="93"/>
      <c r="F6" s="93"/>
      <c r="G6" s="93"/>
      <c r="H6" s="93"/>
      <c r="Q6" s="71" t="s">
        <v>9</v>
      </c>
      <c r="R6" s="7">
        <f t="shared" si="0"/>
        <v>-17144</v>
      </c>
      <c r="S6" s="7">
        <f t="shared" si="0"/>
        <v>-14224</v>
      </c>
      <c r="T6" s="7">
        <v>-2000</v>
      </c>
      <c r="V6" s="3">
        <v>20092</v>
      </c>
      <c r="W6" s="3">
        <v>23012</v>
      </c>
    </row>
    <row r="7" spans="1:24" x14ac:dyDescent="0.3">
      <c r="H7" s="54"/>
      <c r="Q7" s="71" t="s">
        <v>2</v>
      </c>
      <c r="R7" s="7">
        <f t="shared" si="0"/>
        <v>-7592</v>
      </c>
      <c r="S7" s="7">
        <f t="shared" si="0"/>
        <v>-1222</v>
      </c>
      <c r="T7" s="7">
        <v>-1500</v>
      </c>
      <c r="V7" s="3">
        <v>29644</v>
      </c>
      <c r="W7" s="3">
        <v>36014</v>
      </c>
    </row>
    <row r="8" spans="1:24" x14ac:dyDescent="0.3">
      <c r="H8" s="54"/>
      <c r="Q8" s="71" t="s">
        <v>5</v>
      </c>
      <c r="R8" s="6">
        <v>0</v>
      </c>
      <c r="S8" s="8">
        <v>2299</v>
      </c>
      <c r="T8" s="6">
        <v>0</v>
      </c>
      <c r="V8" s="5">
        <v>37236</v>
      </c>
      <c r="W8" s="3">
        <v>3299</v>
      </c>
    </row>
    <row r="9" spans="1:24" x14ac:dyDescent="0.3">
      <c r="B9" s="31" t="s">
        <v>118</v>
      </c>
      <c r="C9" s="31"/>
      <c r="D9" s="31"/>
      <c r="E9" s="31"/>
      <c r="F9" s="53"/>
      <c r="G9" s="32">
        <f>137500+S28</f>
        <v>157490</v>
      </c>
      <c r="H9" s="54"/>
      <c r="Q9" s="71" t="s">
        <v>6</v>
      </c>
      <c r="R9" s="8">
        <f>V9-V8</f>
        <v>20624</v>
      </c>
      <c r="S9" s="33" t="s">
        <v>62</v>
      </c>
      <c r="T9" s="8">
        <v>1900</v>
      </c>
      <c r="V9" s="3">
        <v>57860</v>
      </c>
      <c r="W9" s="4"/>
    </row>
    <row r="10" spans="1:24" x14ac:dyDescent="0.3">
      <c r="B10" s="53"/>
      <c r="C10" s="53"/>
      <c r="D10" s="53"/>
      <c r="E10" s="53"/>
      <c r="F10" s="53"/>
      <c r="G10" s="53"/>
      <c r="H10" s="54"/>
      <c r="Q10" s="71" t="s">
        <v>10</v>
      </c>
      <c r="R10" s="33" t="s">
        <v>61</v>
      </c>
      <c r="S10" s="8">
        <f>W10-V8</f>
        <v>55513</v>
      </c>
      <c r="T10" s="8">
        <v>2600</v>
      </c>
      <c r="W10" s="3">
        <v>92749</v>
      </c>
    </row>
    <row r="11" spans="1:24" x14ac:dyDescent="0.3">
      <c r="B11" s="53"/>
      <c r="C11" s="53"/>
      <c r="D11" s="53"/>
      <c r="E11" s="53"/>
      <c r="F11" s="53"/>
      <c r="G11" s="52" t="s">
        <v>77</v>
      </c>
      <c r="H11" s="54"/>
      <c r="S11" s="3"/>
    </row>
    <row r="12" spans="1:24" x14ac:dyDescent="0.3">
      <c r="B12" s="70" t="s">
        <v>0</v>
      </c>
      <c r="C12" s="53"/>
      <c r="D12" s="53"/>
      <c r="E12" s="55" t="str">
        <f>IF(Checklist_CZE!O19=0, "", CHOOSE(Checklist_CZE!$O$19,"OMEGA","RAVA","MICRA II/RAVA"))</f>
        <v>OMEGA</v>
      </c>
      <c r="F12" s="54"/>
      <c r="G12" s="34">
        <f>IF(Checklist_CZE!O19=0, "", IF(OR(Checklist_CZE!$O$19=1, Checklist_CZE!$O$19=2), 0, 5000))</f>
        <v>0</v>
      </c>
      <c r="H12" s="53"/>
    </row>
    <row r="13" spans="1:24" x14ac:dyDescent="0.3">
      <c r="B13" s="70" t="s">
        <v>1</v>
      </c>
      <c r="C13" s="53"/>
      <c r="D13" s="53"/>
      <c r="E13" s="55" t="str">
        <f>IF(Checklist_CZE!O21=0,"",CHOOSE(Checklist_CZE!$O$21,Q4,Q5,Q6,Q7,Q8,Q9,Q10))</f>
        <v>75"</v>
      </c>
      <c r="F13" s="2" t="s">
        <v>78</v>
      </c>
      <c r="G13" s="34">
        <f>IF(Checklist_CZE!O21=0,"",IF(Checklist_CZE!O22=1,CHOOSE(Checklist_CZE!O21,'Ceny (CZE)'!R4,'Ceny (CZE)'!R5,'Ceny (CZE)'!R6,'Ceny (CZE)'!R7,'Ceny (CZE)'!R8,'Ceny (CZE)'!R9,R10),CHOOSE(Checklist_CZE!O21,'Ceny (CZE)'!S4,'Ceny (CZE)'!S5,'Ceny (CZE)'!S6,'Ceny (CZE)'!S7,'Ceny (CZE)'!S8,'Ceny (CZE)'!S9,'Ceny (CZE)'!S10)))</f>
        <v>0</v>
      </c>
      <c r="H13" s="53"/>
      <c r="Q13" s="40" t="s">
        <v>63</v>
      </c>
      <c r="R13" s="32">
        <v>780</v>
      </c>
      <c r="S13" s="31"/>
      <c r="V13" s="31" t="s">
        <v>12</v>
      </c>
    </row>
    <row r="14" spans="1:24" x14ac:dyDescent="0.3">
      <c r="B14" s="70" t="s">
        <v>11</v>
      </c>
      <c r="C14" s="53"/>
      <c r="D14" s="53"/>
      <c r="E14" s="55" t="str">
        <f>IF(Checklist_CZE!O23=0,"",CHOOSE(Checklist_CZE!O23,"Standard","Premium"))</f>
        <v>Standard</v>
      </c>
      <c r="F14" s="54">
        <f>IF(Checklist_CZE!O22=0,"",CHOOSE(Checklist_CZE!O22,350,500))</f>
        <v>350</v>
      </c>
      <c r="G14" s="34" t="str">
        <f>IF(Checklist_CZE!O23=0,"",CHOOSE(Checklist_CZE!O23,'Ceny (CZE)'!R14,'Ceny (CZE)'!S15))</f>
        <v>Standard</v>
      </c>
      <c r="H14" s="53"/>
      <c r="Q14" s="40" t="s">
        <v>11</v>
      </c>
      <c r="R14" s="41" t="s">
        <v>115</v>
      </c>
      <c r="S14" s="32">
        <v>0</v>
      </c>
      <c r="T14" s="35">
        <v>12767</v>
      </c>
      <c r="V14" t="s">
        <v>29</v>
      </c>
      <c r="W14" s="30">
        <v>1195</v>
      </c>
      <c r="X14" s="37" t="b">
        <f>Checklist_CZE!Q27</f>
        <v>0</v>
      </c>
    </row>
    <row r="15" spans="1:24" x14ac:dyDescent="0.3">
      <c r="B15" s="70" t="s">
        <v>58</v>
      </c>
      <c r="C15" s="53"/>
      <c r="D15" s="53"/>
      <c r="E15" s="55">
        <f>IF(Checklist_CZE!O25=0,"",COUNTIF(Checklist_CZE!O31:O33,TRUE))</f>
        <v>0</v>
      </c>
      <c r="F15" s="54"/>
      <c r="G15" s="34">
        <f>IF(Checklist_CZE!O25&lt;&gt;0,E15*R13,"")</f>
        <v>0</v>
      </c>
      <c r="H15" s="53"/>
      <c r="Q15" s="41"/>
      <c r="R15" s="41" t="s">
        <v>122</v>
      </c>
      <c r="S15" s="32">
        <f>T15-T14</f>
        <v>7525</v>
      </c>
      <c r="T15" s="35">
        <v>20292</v>
      </c>
      <c r="W15" s="30">
        <v>1268</v>
      </c>
      <c r="X15" s="37" t="b">
        <f>Checklist_CZE!Q28</f>
        <v>0</v>
      </c>
    </row>
    <row r="16" spans="1:24" x14ac:dyDescent="0.3">
      <c r="B16" s="70" t="s">
        <v>65</v>
      </c>
      <c r="C16" s="53"/>
      <c r="D16" s="53"/>
      <c r="E16" s="55" t="str">
        <f>IF(Checklist_CZE!O27=0, "",IF(COUNTIF(X14:X25,TRUE)&gt;0,"Ano","Ne"))</f>
        <v>Ne</v>
      </c>
      <c r="F16" s="56" t="str">
        <f>IF(AND(E16="Ne",Checklist_CZE!O27=2), "Zkontroluj", "")</f>
        <v/>
      </c>
      <c r="G16" s="34">
        <f>IF(Checklist_CZE!O27=0, "", SUMPRODUCT(W14:W25,--X14:X25))</f>
        <v>0</v>
      </c>
      <c r="H16" s="53"/>
      <c r="S16" s="32"/>
      <c r="W16" s="30">
        <v>1398</v>
      </c>
      <c r="X16" s="37" t="b">
        <f>Checklist_CZE!Q29</f>
        <v>0</v>
      </c>
    </row>
    <row r="17" spans="1:24" x14ac:dyDescent="0.3">
      <c r="B17" s="70" t="s">
        <v>28</v>
      </c>
      <c r="C17" s="53"/>
      <c r="D17" s="53"/>
      <c r="E17" s="55" t="str">
        <f>IF(Checklist_CZE!O24=0, "", CHOOSE(Checklist_CZE!O24, "Wi-Fi","Kabel", "Wi-Fi a kabel"))</f>
        <v>Wi-Fi a kabel</v>
      </c>
      <c r="F17" s="54"/>
      <c r="G17" s="34">
        <v>0</v>
      </c>
      <c r="H17" s="53"/>
      <c r="K17" s="38"/>
      <c r="Q17" s="40" t="s">
        <v>66</v>
      </c>
      <c r="S17" s="32">
        <v>1400</v>
      </c>
      <c r="W17" s="30">
        <v>1468</v>
      </c>
      <c r="X17" s="37" t="b">
        <f>Checklist_CZE!Q30</f>
        <v>0</v>
      </c>
    </row>
    <row r="18" spans="1:24" x14ac:dyDescent="0.3">
      <c r="B18" s="70" t="s">
        <v>104</v>
      </c>
      <c r="E18" t="str">
        <f>IF(Checklist_CZE!O34=0,"",CHOOSE(Checklist_CZE!O34,R28,R29,"Ne"))</f>
        <v>Ne</v>
      </c>
      <c r="G18" s="34">
        <f>IF(Checklist_CZE!O34=0,"",CHOOSE(Checklist_CZE!O34,0,S29-S28,-S28))</f>
        <v>-19990</v>
      </c>
      <c r="H18" s="53"/>
      <c r="Q18" s="40" t="s">
        <v>68</v>
      </c>
      <c r="R18" s="41" t="s">
        <v>69</v>
      </c>
      <c r="S18" s="32">
        <v>0</v>
      </c>
      <c r="V18" t="s">
        <v>30</v>
      </c>
      <c r="W18" s="30">
        <v>339</v>
      </c>
      <c r="X18" s="37" t="b">
        <f>Checklist_CZE!R27</f>
        <v>0</v>
      </c>
    </row>
    <row r="19" spans="1:24" x14ac:dyDescent="0.3">
      <c r="B19" s="70" t="s">
        <v>112</v>
      </c>
      <c r="E19" t="str">
        <f>IF(Checklist_CZE!O35=0, "",CHOOSE(Checklist_CZE!O35,'Ceny (CZE)'!R32,'Ceny (CZE)'!R33,"Ne"))</f>
        <v>Standard</v>
      </c>
      <c r="G19" s="34">
        <f>IF(Checklist_CZE!O35=0,"",CHOOSE(Checklist_CZE!O35,'Ceny (CZE)'!S32,'Ceny (CZE)'!S33,'Ceny (CZE)'!S34))</f>
        <v>0</v>
      </c>
      <c r="H19" s="53"/>
      <c r="K19" s="38"/>
      <c r="R19" s="41" t="s">
        <v>70</v>
      </c>
      <c r="S19" s="32">
        <v>0</v>
      </c>
      <c r="W19" s="30">
        <v>439</v>
      </c>
      <c r="X19" s="37" t="b">
        <f>Checklist_CZE!R28</f>
        <v>0</v>
      </c>
    </row>
    <row r="20" spans="1:24" x14ac:dyDescent="0.3">
      <c r="B20" s="70" t="s">
        <v>64</v>
      </c>
      <c r="C20" s="53"/>
      <c r="D20" s="53"/>
      <c r="E20" s="55" t="str">
        <f>IF(AND(Checklist_CZE!O20=0,Checklist_CZE!O19=0),"",IF(Checklist_CZE!O20=0,"Nevybrána",IF(Checklist_CZE!O20=3,"Jiná",Checklist_CZE!P20)))</f>
        <v>Elox</v>
      </c>
      <c r="F20" s="54"/>
      <c r="G20" s="34">
        <f>IF(Checklist_CZE!O20=0, "",IF(E20="Jiná", S17, 0))</f>
        <v>0</v>
      </c>
      <c r="H20" s="53"/>
      <c r="R20" s="41" t="s">
        <v>71</v>
      </c>
      <c r="S20" s="32">
        <v>2290</v>
      </c>
      <c r="W20" s="30">
        <v>539</v>
      </c>
      <c r="X20" s="37" t="b">
        <f>Checklist_CZE!R29</f>
        <v>0</v>
      </c>
    </row>
    <row r="21" spans="1:24" x14ac:dyDescent="0.3">
      <c r="B21" s="70" t="s">
        <v>35</v>
      </c>
      <c r="C21" s="53"/>
      <c r="D21" s="53"/>
      <c r="E21" s="55" t="str">
        <f>IF(Checklist_CZE!O26=0,"",CHOOSE(Checklist_CZE!O26,"Dotykové","Obyčejné"))</f>
        <v>Dotykové</v>
      </c>
      <c r="F21" s="54"/>
      <c r="G21" s="34">
        <f>IF(Checklist_CZE!O26=0,"",CHOOSE(Checklist_CZE!O26,'Ceny (CZE)'!S23,'Ceny (CZE)'!S24))</f>
        <v>0</v>
      </c>
      <c r="H21" s="53"/>
      <c r="R21" s="41" t="s">
        <v>72</v>
      </c>
      <c r="S21" s="32">
        <v>2990</v>
      </c>
      <c r="W21" s="30">
        <v>739</v>
      </c>
      <c r="X21" s="37" t="b">
        <f>Checklist_CZE!R30</f>
        <v>0</v>
      </c>
    </row>
    <row r="22" spans="1:24" x14ac:dyDescent="0.3">
      <c r="B22" s="70" t="s">
        <v>67</v>
      </c>
      <c r="C22" s="53"/>
      <c r="D22" s="53"/>
      <c r="E22" s="55" t="str">
        <f>IF(Checklist_CZE!O29=0,"",CHOOSE(Checklist_CZE!O29,"Černá","Mléčná","Jiná", "Vlastní design"))</f>
        <v>Černá</v>
      </c>
      <c r="F22" s="8"/>
      <c r="G22" s="34">
        <f>IF(Checklist_CZE!O29=0,"",CHOOSE(Checklist_CZE!O29,S18,S19,S20,S21))</f>
        <v>0</v>
      </c>
      <c r="H22" s="53"/>
      <c r="Q22" s="40" t="s">
        <v>73</v>
      </c>
      <c r="S22" s="32">
        <v>4490</v>
      </c>
      <c r="V22" t="s">
        <v>31</v>
      </c>
      <c r="W22" s="30">
        <f>32*7</f>
        <v>224</v>
      </c>
      <c r="X22" s="37" t="b">
        <f>Checklist_CZE!S27</f>
        <v>0</v>
      </c>
    </row>
    <row r="23" spans="1:24" x14ac:dyDescent="0.3">
      <c r="B23" s="70" t="s">
        <v>81</v>
      </c>
      <c r="C23" s="53"/>
      <c r="D23" s="53"/>
      <c r="E23" s="53" t="str">
        <f>IF(Checklist_CZE!O28=0,"",CHOOSE(Checklist_CZE!O28,"Standard","V příčce, přístupné odjinud","V místnosti"))</f>
        <v>Standard</v>
      </c>
      <c r="F23" s="53"/>
      <c r="G23" s="34">
        <f>IF(Checklist_CZE!O28=0,"",CHOOSE(Checklist_CZE!O28,'Ceny (CZE)'!S25,'Ceny (CZE)'!S26,'Ceny (CZE)'!S27))</f>
        <v>0</v>
      </c>
      <c r="H23" s="53"/>
      <c r="M23" s="38"/>
      <c r="Q23" s="40" t="s">
        <v>74</v>
      </c>
      <c r="R23" s="41" t="s">
        <v>75</v>
      </c>
      <c r="S23" s="32">
        <v>0</v>
      </c>
      <c r="W23" s="30">
        <f>32*10</f>
        <v>320</v>
      </c>
      <c r="X23" s="37" t="b">
        <f>Checklist_CZE!S28</f>
        <v>0</v>
      </c>
    </row>
    <row r="24" spans="1:24" x14ac:dyDescent="0.3">
      <c r="A24" s="10"/>
      <c r="B24" s="70" t="s">
        <v>80</v>
      </c>
      <c r="C24" s="53"/>
      <c r="D24" s="53"/>
      <c r="E24" s="54"/>
      <c r="F24" s="54"/>
      <c r="G24" s="34" t="str">
        <f>IF(Checklist_CZE!O30=FALSE, "", S22*(--Checklist_CZE!O30))</f>
        <v/>
      </c>
      <c r="H24" s="53"/>
      <c r="R24" s="41" t="s">
        <v>76</v>
      </c>
      <c r="S24" s="32">
        <v>-2500</v>
      </c>
      <c r="W24" s="30">
        <f>32*15</f>
        <v>480</v>
      </c>
      <c r="X24" s="37" t="b">
        <f>Checklist_CZE!S29</f>
        <v>0</v>
      </c>
    </row>
    <row r="25" spans="1:24" x14ac:dyDescent="0.3">
      <c r="B25" s="70" t="s">
        <v>106</v>
      </c>
      <c r="E25" t="str">
        <f>IF(Checklist_CZE!O36=2,"Standard",IF(Checklist_CZE!O36=1,"Ex works Slavkov",""))</f>
        <v>Standard</v>
      </c>
      <c r="G25" s="34">
        <f>IF(Checklist_CZE!O36=0,"",CHOOSE(Checklist_CZE!O36,'Ceny (CZE)'!S30,'Ceny (CZE)'!S31))</f>
        <v>0</v>
      </c>
      <c r="Q25" s="40" t="s">
        <v>82</v>
      </c>
      <c r="R25" s="41" t="s">
        <v>83</v>
      </c>
      <c r="S25" s="32">
        <v>0</v>
      </c>
      <c r="W25" s="30">
        <f>32*20</f>
        <v>640</v>
      </c>
      <c r="X25" s="37" t="b">
        <f>Checklist_CZE!S30</f>
        <v>0</v>
      </c>
    </row>
    <row r="26" spans="1:24" x14ac:dyDescent="0.3">
      <c r="R26" s="41" t="s">
        <v>84</v>
      </c>
      <c r="S26" s="32">
        <v>2900</v>
      </c>
      <c r="X26" s="38"/>
    </row>
    <row r="27" spans="1:24" ht="16.2" x14ac:dyDescent="0.45">
      <c r="B27" s="42" t="s">
        <v>79</v>
      </c>
      <c r="C27" s="43"/>
      <c r="D27" s="43"/>
      <c r="E27" s="43"/>
      <c r="F27" s="43"/>
      <c r="G27" s="44">
        <f>IF(COUNTBLANK(G12:G25)&gt;1,"Vyberte konfiguraci",SUM(G12:G25,G9))</f>
        <v>137500</v>
      </c>
      <c r="R27" s="41" t="s">
        <v>85</v>
      </c>
      <c r="S27" s="32">
        <v>6490</v>
      </c>
    </row>
    <row r="28" spans="1:24" x14ac:dyDescent="0.3">
      <c r="Q28" s="31" t="s">
        <v>105</v>
      </c>
      <c r="R28" s="60" t="s">
        <v>110</v>
      </c>
      <c r="S28" s="32">
        <v>19990</v>
      </c>
    </row>
    <row r="29" spans="1:24" x14ac:dyDescent="0.3">
      <c r="B29" s="69" t="s">
        <v>97</v>
      </c>
      <c r="C29" s="53"/>
      <c r="D29" s="53"/>
      <c r="E29" s="53"/>
      <c r="F29" s="53"/>
      <c r="G29" s="53"/>
      <c r="R29" s="41" t="s">
        <v>111</v>
      </c>
      <c r="S29" s="32">
        <v>24990</v>
      </c>
    </row>
    <row r="30" spans="1:24" x14ac:dyDescent="0.3">
      <c r="B30" s="53"/>
      <c r="C30" s="53"/>
      <c r="D30" s="53"/>
      <c r="E30" s="53"/>
      <c r="F30" s="53"/>
      <c r="G30" s="52"/>
      <c r="Q30" s="31" t="s">
        <v>107</v>
      </c>
      <c r="R30" s="41" t="s">
        <v>109</v>
      </c>
      <c r="S30" s="32">
        <v>-20000</v>
      </c>
    </row>
    <row r="31" spans="1:24" x14ac:dyDescent="0.3">
      <c r="B31" s="61" t="s">
        <v>120</v>
      </c>
      <c r="C31" s="62"/>
      <c r="D31" s="63"/>
      <c r="E31" s="64"/>
      <c r="F31" s="65"/>
      <c r="G31" s="34"/>
      <c r="H31" s="53"/>
      <c r="R31" s="41" t="s">
        <v>108</v>
      </c>
      <c r="S31" s="32">
        <v>0</v>
      </c>
    </row>
    <row r="32" spans="1:24" x14ac:dyDescent="0.3">
      <c r="B32" s="63"/>
      <c r="C32" s="63"/>
      <c r="D32" s="63"/>
      <c r="E32" s="64"/>
      <c r="F32" s="66"/>
      <c r="G32" s="34"/>
      <c r="H32" s="53"/>
      <c r="Q32" s="31" t="s">
        <v>114</v>
      </c>
      <c r="R32" s="41" t="s">
        <v>115</v>
      </c>
      <c r="S32" s="32">
        <v>0</v>
      </c>
    </row>
    <row r="33" spans="1:19" x14ac:dyDescent="0.3">
      <c r="B33" s="61" t="s">
        <v>93</v>
      </c>
      <c r="C33" s="62"/>
      <c r="D33" s="63"/>
      <c r="E33" s="64"/>
      <c r="F33" s="65"/>
      <c r="G33" s="34"/>
      <c r="H33" s="9"/>
      <c r="R33" s="41" t="s">
        <v>116</v>
      </c>
      <c r="S33" s="32">
        <v>2500</v>
      </c>
    </row>
    <row r="34" spans="1:19" x14ac:dyDescent="0.3">
      <c r="B34" s="61" t="s">
        <v>94</v>
      </c>
      <c r="C34" s="62"/>
      <c r="D34" s="63"/>
      <c r="E34" s="64"/>
      <c r="F34" s="65"/>
      <c r="G34" s="34"/>
      <c r="H34" s="53"/>
      <c r="R34" s="41" t="s">
        <v>117</v>
      </c>
      <c r="S34" s="32">
        <v>-4500</v>
      </c>
    </row>
    <row r="35" spans="1:19" x14ac:dyDescent="0.3">
      <c r="B35" s="61" t="s">
        <v>95</v>
      </c>
      <c r="C35" s="62"/>
      <c r="D35" s="63"/>
      <c r="E35" s="64"/>
      <c r="F35" s="67"/>
      <c r="G35" s="34"/>
      <c r="H35" s="53"/>
    </row>
    <row r="36" spans="1:19" x14ac:dyDescent="0.3">
      <c r="B36" s="61" t="s">
        <v>88</v>
      </c>
      <c r="C36" s="62"/>
      <c r="D36" s="63"/>
      <c r="E36" s="64"/>
      <c r="F36" s="65"/>
      <c r="G36" s="34"/>
      <c r="H36" s="53"/>
    </row>
    <row r="37" spans="1:19" x14ac:dyDescent="0.3">
      <c r="B37" s="61" t="s">
        <v>121</v>
      </c>
      <c r="G37" s="34"/>
      <c r="H37" s="53"/>
    </row>
    <row r="38" spans="1:19" x14ac:dyDescent="0.3">
      <c r="B38" s="61" t="s">
        <v>119</v>
      </c>
      <c r="C38" s="62"/>
      <c r="D38" s="63"/>
      <c r="E38" s="64"/>
      <c r="F38" s="65"/>
      <c r="G38" s="34"/>
      <c r="H38" s="9"/>
    </row>
    <row r="39" spans="1:19" x14ac:dyDescent="0.3">
      <c r="B39" s="61" t="s">
        <v>89</v>
      </c>
      <c r="C39" s="62"/>
      <c r="D39" s="63"/>
      <c r="E39" s="64"/>
      <c r="F39" s="65"/>
      <c r="G39" s="34"/>
      <c r="H39" s="9"/>
    </row>
    <row r="40" spans="1:19" x14ac:dyDescent="0.3">
      <c r="A40" s="10"/>
      <c r="B40" s="61" t="s">
        <v>96</v>
      </c>
      <c r="C40" s="62"/>
      <c r="D40" s="63"/>
      <c r="E40" s="64"/>
      <c r="F40" s="68"/>
      <c r="G40" s="34"/>
      <c r="H40" s="9"/>
    </row>
    <row r="41" spans="1:19" x14ac:dyDescent="0.3">
      <c r="B41" s="61" t="s">
        <v>90</v>
      </c>
      <c r="C41" s="62"/>
      <c r="D41" s="63"/>
      <c r="E41" s="63"/>
      <c r="F41" s="63"/>
      <c r="G41" s="34"/>
      <c r="H41" s="9"/>
    </row>
    <row r="42" spans="1:19" x14ac:dyDescent="0.3">
      <c r="B42" s="61" t="s">
        <v>91</v>
      </c>
      <c r="C42" s="62"/>
      <c r="D42" s="63"/>
      <c r="E42" s="65"/>
      <c r="F42" s="65"/>
      <c r="G42" s="53"/>
      <c r="H42" s="53"/>
    </row>
    <row r="43" spans="1:19" ht="16.2" x14ac:dyDescent="0.45">
      <c r="B43" s="61" t="s">
        <v>98</v>
      </c>
      <c r="C43" s="62"/>
      <c r="D43" s="63"/>
      <c r="E43" s="63"/>
      <c r="F43" s="63"/>
      <c r="G43" s="44"/>
      <c r="H43" s="53"/>
    </row>
    <row r="44" spans="1:19" x14ac:dyDescent="0.3">
      <c r="A44" s="10"/>
      <c r="B44" s="61" t="s">
        <v>92</v>
      </c>
      <c r="C44" s="62"/>
      <c r="D44" s="63"/>
      <c r="E44" s="63"/>
      <c r="F44" s="63"/>
      <c r="H44" s="53"/>
    </row>
    <row r="45" spans="1:19" ht="51" customHeight="1" x14ac:dyDescent="0.3">
      <c r="A45" s="10"/>
      <c r="H45" s="53"/>
    </row>
    <row r="46" spans="1:19" x14ac:dyDescent="0.3">
      <c r="A46" s="10"/>
      <c r="B46" s="1"/>
      <c r="F46" s="11"/>
    </row>
    <row r="47" spans="1:19" x14ac:dyDescent="0.3">
      <c r="A47" s="48"/>
      <c r="B47" s="49"/>
      <c r="C47" s="46"/>
      <c r="D47" s="46"/>
      <c r="E47" s="46"/>
      <c r="F47" s="50"/>
      <c r="G47" s="46"/>
      <c r="H47" s="46"/>
      <c r="I47" s="51"/>
    </row>
    <row r="48" spans="1:19" x14ac:dyDescent="0.3">
      <c r="A48" s="57"/>
      <c r="B48" s="58"/>
      <c r="C48" s="51"/>
      <c r="D48" s="51"/>
      <c r="E48" s="59"/>
      <c r="F48" s="51"/>
      <c r="G48" s="51"/>
      <c r="H48" s="51"/>
      <c r="I48" s="51"/>
      <c r="J48" s="9"/>
    </row>
    <row r="49" spans="1:10" x14ac:dyDescent="0.3">
      <c r="A49" s="57"/>
      <c r="B49" s="58"/>
      <c r="C49" s="51"/>
      <c r="D49" s="51"/>
      <c r="E49" s="51"/>
      <c r="F49" s="51"/>
      <c r="G49" s="51"/>
      <c r="H49" s="51"/>
      <c r="I49" s="51"/>
      <c r="J49" s="9"/>
    </row>
    <row r="50" spans="1:10" x14ac:dyDescent="0.3">
      <c r="A50" s="10"/>
      <c r="B50" s="1"/>
      <c r="J50" s="9"/>
    </row>
    <row r="51" spans="1:10" x14ac:dyDescent="0.3">
      <c r="A51" s="10"/>
      <c r="B51" s="1"/>
      <c r="J51" s="9"/>
    </row>
    <row r="52" spans="1:10" x14ac:dyDescent="0.3">
      <c r="B52" s="1"/>
      <c r="J52" s="9"/>
    </row>
    <row r="53" spans="1:10" x14ac:dyDescent="0.3">
      <c r="C53" s="1"/>
      <c r="J53" s="9"/>
    </row>
    <row r="54" spans="1:10" x14ac:dyDescent="0.3">
      <c r="A54" s="10"/>
    </row>
    <row r="55" spans="1:10" x14ac:dyDescent="0.3">
      <c r="A55" s="10"/>
    </row>
    <row r="56" spans="1:10" x14ac:dyDescent="0.3">
      <c r="B56" s="1"/>
    </row>
    <row r="57" spans="1:10" x14ac:dyDescent="0.3">
      <c r="B57" s="1"/>
      <c r="H57" s="9"/>
    </row>
  </sheetData>
  <sheetProtection selectLockedCells="1" selectUnlockedCells="1"/>
  <mergeCells count="1">
    <mergeCell ref="A6:H6"/>
  </mergeCells>
  <conditionalFormatting sqref="G12:G17 G20:G24">
    <cfRule type="cellIs" dxfId="19" priority="24" operator="equal">
      <formula>0</formula>
    </cfRule>
    <cfRule type="cellIs" dxfId="18" priority="25" operator="greaterThan">
      <formula>0</formula>
    </cfRule>
    <cfRule type="cellIs" dxfId="17" priority="26" operator="lessThan">
      <formula>0</formula>
    </cfRule>
  </conditionalFormatting>
  <conditionalFormatting sqref="G31:G41">
    <cfRule type="cellIs" dxfId="16" priority="18" operator="equal">
      <formula>0</formula>
    </cfRule>
    <cfRule type="cellIs" dxfId="15" priority="19" operator="greaterThan">
      <formula>0</formula>
    </cfRule>
    <cfRule type="cellIs" dxfId="14" priority="20" operator="lessThan">
      <formula>0</formula>
    </cfRule>
  </conditionalFormatting>
  <conditionalFormatting sqref="E12:E13">
    <cfRule type="expression" dxfId="13" priority="16">
      <formula>E12="#VALUE"</formula>
    </cfRule>
  </conditionalFormatting>
  <conditionalFormatting sqref="G18">
    <cfRule type="cellIs" dxfId="12" priority="13" operator="equal">
      <formula>0</formula>
    </cfRule>
    <cfRule type="cellIs" dxfId="11" priority="14" operator="greaterThan">
      <formula>0</formula>
    </cfRule>
    <cfRule type="cellIs" dxfId="10" priority="15" operator="lessThan">
      <formula>0</formula>
    </cfRule>
  </conditionalFormatting>
  <conditionalFormatting sqref="G25">
    <cfRule type="cellIs" dxfId="9" priority="10" operator="equal">
      <formula>0</formula>
    </cfRule>
    <cfRule type="cellIs" dxfId="8" priority="11" operator="greaterThan">
      <formula>0</formula>
    </cfRule>
    <cfRule type="cellIs" dxfId="7" priority="12" operator="lessThan">
      <formula>0</formula>
    </cfRule>
  </conditionalFormatting>
  <conditionalFormatting sqref="G19">
    <cfRule type="cellIs" dxfId="6" priority="7" operator="equal">
      <formula>0</formula>
    </cfRule>
    <cfRule type="cellIs" dxfId="5" priority="8" operator="greaterThan">
      <formula>0</formula>
    </cfRule>
    <cfRule type="cellIs" dxfId="4" priority="9" operator="lessThan">
      <formula>0</formula>
    </cfRule>
  </conditionalFormatting>
  <conditionalFormatting sqref="B37">
    <cfRule type="expression" dxfId="3" priority="6">
      <formula>$E$18="Ne"</formula>
    </cfRule>
  </conditionalFormatting>
  <conditionalFormatting sqref="B36">
    <cfRule type="expression" dxfId="2" priority="5">
      <formula>$E$19="Ne"</formula>
    </cfRule>
  </conditionalFormatting>
  <conditionalFormatting sqref="E20">
    <cfRule type="expression" dxfId="1" priority="2">
      <formula>$E$20="Nevybrána"</formula>
    </cfRule>
  </conditionalFormatting>
  <conditionalFormatting sqref="B43">
    <cfRule type="expression" dxfId="0" priority="1">
      <formula>$E$25="Ex works Slavkov"</formula>
    </cfRule>
  </conditionalFormatting>
  <pageMargins left="0.43307086614173229" right="0.43307086614173229" top="0.74803149606299213" bottom="0.74803149606299213" header="0.31496062992125984" footer="0.31496062992125984"/>
  <pageSetup paperSize="9" fitToHeight="0"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D5A37-9B47-4866-824C-AD1733BD1B50}">
  <sheetPr codeName="Sheet1"/>
  <dimension ref="B3:S87"/>
  <sheetViews>
    <sheetView showGridLines="0" zoomScale="120" zoomScaleNormal="120" workbookViewId="0">
      <selection activeCell="A67" sqref="A67"/>
    </sheetView>
  </sheetViews>
  <sheetFormatPr defaultRowHeight="14.4" x14ac:dyDescent="0.3"/>
  <cols>
    <col min="1" max="3" width="8.88671875" style="28"/>
    <col min="4" max="5" width="8.77734375" style="27"/>
    <col min="6" max="7" width="8.88671875" style="28"/>
    <col min="8" max="8" width="6.44140625" style="28" customWidth="1"/>
    <col min="9" max="9" width="8.77734375" style="27"/>
    <col min="10" max="11" width="8.88671875" style="28"/>
    <col min="12" max="12" width="8.77734375" style="74"/>
    <col min="13" max="13" width="8.77734375" style="26"/>
    <col min="14" max="14" width="8.77734375" style="92"/>
    <col min="15" max="16384" width="8.88671875" style="28"/>
  </cols>
  <sheetData>
    <row r="3" spans="2:11" ht="18" x14ac:dyDescent="0.35">
      <c r="B3" s="73" t="s">
        <v>13</v>
      </c>
    </row>
    <row r="5" spans="2:11" x14ac:dyDescent="0.3">
      <c r="I5" s="75" t="s">
        <v>23</v>
      </c>
    </row>
    <row r="9" spans="2:11" x14ac:dyDescent="0.3">
      <c r="J9" s="94"/>
      <c r="K9" s="95"/>
    </row>
    <row r="17" spans="2:19" x14ac:dyDescent="0.3">
      <c r="N17" s="74"/>
      <c r="O17" s="26"/>
      <c r="P17" s="92"/>
    </row>
    <row r="18" spans="2:19" x14ac:dyDescent="0.3">
      <c r="N18" s="74"/>
      <c r="O18" s="26"/>
      <c r="P18" s="92"/>
    </row>
    <row r="19" spans="2:19" x14ac:dyDescent="0.3">
      <c r="N19" s="87" t="s">
        <v>14</v>
      </c>
      <c r="O19" s="88">
        <v>1</v>
      </c>
      <c r="P19" s="89"/>
      <c r="Q19" s="90"/>
      <c r="R19" s="90"/>
      <c r="S19" s="90"/>
    </row>
    <row r="20" spans="2:19" x14ac:dyDescent="0.3">
      <c r="N20" s="87" t="s">
        <v>15</v>
      </c>
      <c r="O20" s="88">
        <v>1</v>
      </c>
      <c r="P20" s="89" t="str">
        <f>IF(O20=1,"Elox",IF(O20=2,"RAL 9005",J9))</f>
        <v>Elox</v>
      </c>
      <c r="Q20" s="90"/>
      <c r="R20" s="90"/>
      <c r="S20" s="90"/>
    </row>
    <row r="21" spans="2:19" x14ac:dyDescent="0.3">
      <c r="N21" s="87" t="s">
        <v>16</v>
      </c>
      <c r="O21" s="88">
        <v>5</v>
      </c>
      <c r="P21" s="89"/>
      <c r="Q21" s="90"/>
      <c r="R21" s="90"/>
      <c r="S21" s="90"/>
    </row>
    <row r="22" spans="2:19" ht="18" x14ac:dyDescent="0.35">
      <c r="B22" s="76" t="s">
        <v>24</v>
      </c>
      <c r="G22" s="76" t="s">
        <v>17</v>
      </c>
      <c r="N22" s="87" t="s">
        <v>26</v>
      </c>
      <c r="O22" s="88">
        <v>1</v>
      </c>
      <c r="P22" s="89"/>
      <c r="Q22" s="90"/>
      <c r="R22" s="90"/>
      <c r="S22" s="90"/>
    </row>
    <row r="23" spans="2:19" x14ac:dyDescent="0.3">
      <c r="N23" s="87" t="s">
        <v>22</v>
      </c>
      <c r="O23" s="88">
        <v>1</v>
      </c>
      <c r="P23" s="89"/>
      <c r="Q23" s="90"/>
      <c r="R23" s="90"/>
      <c r="S23" s="90"/>
    </row>
    <row r="24" spans="2:19" x14ac:dyDescent="0.3">
      <c r="N24" s="87" t="s">
        <v>21</v>
      </c>
      <c r="O24" s="88">
        <v>3</v>
      </c>
      <c r="P24" s="89"/>
      <c r="Q24" s="90"/>
      <c r="R24" s="90"/>
      <c r="S24" s="90"/>
    </row>
    <row r="25" spans="2:19" x14ac:dyDescent="0.3">
      <c r="N25" s="87" t="s">
        <v>27</v>
      </c>
      <c r="O25" s="88">
        <v>1</v>
      </c>
      <c r="P25" s="89"/>
      <c r="Q25" s="90"/>
      <c r="R25" s="90"/>
      <c r="S25" s="90"/>
    </row>
    <row r="26" spans="2:19" x14ac:dyDescent="0.3">
      <c r="N26" s="87" t="s">
        <v>40</v>
      </c>
      <c r="O26" s="88">
        <v>1</v>
      </c>
      <c r="P26" s="89"/>
      <c r="Q26" s="91" t="s">
        <v>29</v>
      </c>
      <c r="R26" s="91" t="s">
        <v>30</v>
      </c>
      <c r="S26" s="91" t="s">
        <v>31</v>
      </c>
    </row>
    <row r="27" spans="2:19" x14ac:dyDescent="0.3">
      <c r="N27" s="87" t="s">
        <v>33</v>
      </c>
      <c r="O27" s="88">
        <v>1</v>
      </c>
      <c r="P27" s="89"/>
      <c r="Q27" s="91" t="b">
        <v>0</v>
      </c>
      <c r="R27" s="91" t="b">
        <v>0</v>
      </c>
      <c r="S27" s="91" t="b">
        <v>0</v>
      </c>
    </row>
    <row r="28" spans="2:19" x14ac:dyDescent="0.3">
      <c r="N28" s="87" t="s">
        <v>34</v>
      </c>
      <c r="O28" s="88">
        <v>1</v>
      </c>
      <c r="P28" s="89"/>
      <c r="Q28" s="91" t="b">
        <v>0</v>
      </c>
      <c r="R28" s="91" t="b">
        <v>0</v>
      </c>
      <c r="S28" s="91" t="b">
        <v>0</v>
      </c>
    </row>
    <row r="29" spans="2:19" x14ac:dyDescent="0.3">
      <c r="I29" s="77" t="s">
        <v>60</v>
      </c>
      <c r="N29" s="87" t="s">
        <v>39</v>
      </c>
      <c r="O29" s="88">
        <v>1</v>
      </c>
      <c r="P29" s="89"/>
      <c r="Q29" s="91" t="b">
        <v>0</v>
      </c>
      <c r="R29" s="91" t="b">
        <v>0</v>
      </c>
      <c r="S29" s="91" t="b">
        <v>0</v>
      </c>
    </row>
    <row r="30" spans="2:19" x14ac:dyDescent="0.3">
      <c r="N30" s="87" t="s">
        <v>54</v>
      </c>
      <c r="O30" s="88" t="b">
        <v>0</v>
      </c>
      <c r="P30" s="89"/>
      <c r="Q30" s="91" t="b">
        <v>0</v>
      </c>
      <c r="R30" s="91" t="b">
        <v>0</v>
      </c>
      <c r="S30" s="91" t="b">
        <v>0</v>
      </c>
    </row>
    <row r="31" spans="2:19" x14ac:dyDescent="0.3">
      <c r="N31" s="87" t="s">
        <v>55</v>
      </c>
      <c r="O31" s="88" t="b">
        <v>0</v>
      </c>
      <c r="P31" s="89"/>
      <c r="Q31" s="90"/>
      <c r="R31" s="90"/>
      <c r="S31" s="90"/>
    </row>
    <row r="32" spans="2:19" ht="18" x14ac:dyDescent="0.35">
      <c r="B32" s="76" t="s">
        <v>18</v>
      </c>
      <c r="H32" s="78" t="s">
        <v>28</v>
      </c>
      <c r="N32" s="87" t="s">
        <v>56</v>
      </c>
      <c r="O32" s="88" t="b">
        <v>0</v>
      </c>
      <c r="P32" s="89"/>
      <c r="Q32" s="90"/>
      <c r="R32" s="90"/>
      <c r="S32" s="90"/>
    </row>
    <row r="33" spans="2:19" x14ac:dyDescent="0.3">
      <c r="N33" s="87" t="s">
        <v>57</v>
      </c>
      <c r="O33" s="88" t="b">
        <v>0</v>
      </c>
      <c r="P33" s="89"/>
      <c r="Q33" s="90"/>
      <c r="R33" s="90"/>
      <c r="S33" s="90"/>
    </row>
    <row r="34" spans="2:19" x14ac:dyDescent="0.3">
      <c r="N34" s="87" t="s">
        <v>103</v>
      </c>
      <c r="O34" s="88">
        <v>3</v>
      </c>
      <c r="P34" s="89"/>
      <c r="Q34" s="90"/>
      <c r="R34" s="90"/>
      <c r="S34" s="90"/>
    </row>
    <row r="35" spans="2:19" x14ac:dyDescent="0.3">
      <c r="N35" s="87" t="s">
        <v>113</v>
      </c>
      <c r="O35" s="88">
        <v>1</v>
      </c>
      <c r="P35" s="89"/>
      <c r="Q35" s="90"/>
      <c r="R35" s="90"/>
      <c r="S35" s="90"/>
    </row>
    <row r="36" spans="2:19" x14ac:dyDescent="0.3">
      <c r="N36" s="87" t="s">
        <v>102</v>
      </c>
      <c r="O36" s="88">
        <v>2</v>
      </c>
      <c r="P36" s="90"/>
      <c r="Q36" s="90"/>
      <c r="R36" s="90"/>
      <c r="S36" s="90"/>
    </row>
    <row r="37" spans="2:19" x14ac:dyDescent="0.3">
      <c r="N37" s="89"/>
      <c r="O37" s="90"/>
      <c r="P37" s="90"/>
      <c r="Q37" s="90"/>
      <c r="R37" s="90"/>
      <c r="S37" s="90"/>
    </row>
    <row r="43" spans="2:19" ht="18" x14ac:dyDescent="0.35">
      <c r="B43" s="76" t="s">
        <v>19</v>
      </c>
      <c r="H43" s="78" t="s">
        <v>35</v>
      </c>
    </row>
    <row r="46" spans="2:19" x14ac:dyDescent="0.3">
      <c r="E46" s="79"/>
      <c r="F46" s="80"/>
    </row>
    <row r="47" spans="2:19" x14ac:dyDescent="0.3">
      <c r="C47" s="96"/>
      <c r="D47" s="96"/>
      <c r="E47" s="80" t="s">
        <v>25</v>
      </c>
    </row>
    <row r="48" spans="2:19" ht="33" customHeight="1" x14ac:dyDescent="0.3"/>
    <row r="49" spans="2:10" ht="18" x14ac:dyDescent="0.35">
      <c r="B49" s="76" t="s">
        <v>20</v>
      </c>
      <c r="H49" s="78" t="s">
        <v>36</v>
      </c>
    </row>
    <row r="51" spans="2:10" ht="15" customHeight="1" x14ac:dyDescent="0.3"/>
    <row r="52" spans="2:10" ht="15" customHeight="1" x14ac:dyDescent="0.3"/>
    <row r="53" spans="2:10" ht="15" customHeight="1" x14ac:dyDescent="0.3"/>
    <row r="54" spans="2:10" ht="24.6" customHeight="1" x14ac:dyDescent="0.3">
      <c r="I54" s="81" t="s">
        <v>37</v>
      </c>
      <c r="J54" s="82"/>
    </row>
    <row r="55" spans="2:10" ht="12" customHeight="1" x14ac:dyDescent="0.3">
      <c r="B55" s="83"/>
      <c r="D55" s="84"/>
      <c r="E55" s="85"/>
    </row>
    <row r="56" spans="2:10" ht="12" customHeight="1" x14ac:dyDescent="0.3">
      <c r="B56" s="83"/>
      <c r="D56" s="84"/>
      <c r="E56" s="85"/>
    </row>
    <row r="57" spans="2:10" ht="12" customHeight="1" x14ac:dyDescent="0.3">
      <c r="B57" s="83"/>
      <c r="D57" s="84"/>
      <c r="E57" s="85"/>
    </row>
    <row r="59" spans="2:10" ht="5.4" customHeight="1" x14ac:dyDescent="0.3"/>
    <row r="60" spans="2:10" ht="18" x14ac:dyDescent="0.35">
      <c r="B60" s="76" t="s">
        <v>32</v>
      </c>
    </row>
    <row r="67" spans="2:8" ht="18" x14ac:dyDescent="0.35">
      <c r="H67" s="78" t="s">
        <v>38</v>
      </c>
    </row>
    <row r="71" spans="2:8" ht="20.399999999999999" customHeight="1" x14ac:dyDescent="0.35">
      <c r="B71" s="76" t="s">
        <v>100</v>
      </c>
    </row>
    <row r="78" spans="2:8" ht="18" x14ac:dyDescent="0.35">
      <c r="B78" s="76" t="s">
        <v>112</v>
      </c>
      <c r="F78" s="86" t="s">
        <v>101</v>
      </c>
    </row>
    <row r="87" spans="2:2" ht="18" x14ac:dyDescent="0.35">
      <c r="B87" s="76"/>
    </row>
  </sheetData>
  <sheetProtection selectLockedCells="1"/>
  <mergeCells count="2">
    <mergeCell ref="J9:K9"/>
    <mergeCell ref="C47:D47"/>
  </mergeCells>
  <pageMargins left="0.25" right="0.25"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Option Button 2">
              <controlPr defaultSize="0" autoFill="0" autoLine="0" autoPict="0">
                <anchor moveWithCells="1">
                  <from>
                    <xdr:col>1</xdr:col>
                    <xdr:colOff>373380</xdr:colOff>
                    <xdr:row>4</xdr:row>
                    <xdr:rowOff>7620</xdr:rowOff>
                  </from>
                  <to>
                    <xdr:col>3</xdr:col>
                    <xdr:colOff>68580</xdr:colOff>
                    <xdr:row>5</xdr:row>
                    <xdr:rowOff>38100</xdr:rowOff>
                  </to>
                </anchor>
              </controlPr>
            </control>
          </mc:Choice>
        </mc:AlternateContent>
        <mc:AlternateContent xmlns:mc="http://schemas.openxmlformats.org/markup-compatibility/2006">
          <mc:Choice Requires="x14">
            <control shapeId="3076" r:id="rId5" name="Option Button 4">
              <controlPr defaultSize="0" autoFill="0" autoLine="0" autoPict="0">
                <anchor moveWithCells="1">
                  <from>
                    <xdr:col>1</xdr:col>
                    <xdr:colOff>365760</xdr:colOff>
                    <xdr:row>10</xdr:row>
                    <xdr:rowOff>7620</xdr:rowOff>
                  </from>
                  <to>
                    <xdr:col>3</xdr:col>
                    <xdr:colOff>53340</xdr:colOff>
                    <xdr:row>11</xdr:row>
                    <xdr:rowOff>0</xdr:rowOff>
                  </to>
                </anchor>
              </controlPr>
            </control>
          </mc:Choice>
        </mc:AlternateContent>
        <mc:AlternateContent xmlns:mc="http://schemas.openxmlformats.org/markup-compatibility/2006">
          <mc:Choice Requires="x14">
            <control shapeId="3078" r:id="rId6" name="Option Button 6">
              <controlPr defaultSize="0" autoFill="0" autoLine="0" autoPict="0">
                <anchor moveWithCells="1">
                  <from>
                    <xdr:col>1</xdr:col>
                    <xdr:colOff>381000</xdr:colOff>
                    <xdr:row>15</xdr:row>
                    <xdr:rowOff>7620</xdr:rowOff>
                  </from>
                  <to>
                    <xdr:col>3</xdr:col>
                    <xdr:colOff>83820</xdr:colOff>
                    <xdr:row>16</xdr:row>
                    <xdr:rowOff>22860</xdr:rowOff>
                  </to>
                </anchor>
              </controlPr>
            </control>
          </mc:Choice>
        </mc:AlternateContent>
        <mc:AlternateContent xmlns:mc="http://schemas.openxmlformats.org/markup-compatibility/2006">
          <mc:Choice Requires="x14">
            <control shapeId="3079" r:id="rId7" name="Option Button 7">
              <controlPr defaultSize="0" autoFill="0" autoLine="0" autoPict="0">
                <anchor moveWithCells="1">
                  <from>
                    <xdr:col>8</xdr:col>
                    <xdr:colOff>60960</xdr:colOff>
                    <xdr:row>5</xdr:row>
                    <xdr:rowOff>22860</xdr:rowOff>
                  </from>
                  <to>
                    <xdr:col>9</xdr:col>
                    <xdr:colOff>137160</xdr:colOff>
                    <xdr:row>6</xdr:row>
                    <xdr:rowOff>53340</xdr:rowOff>
                  </to>
                </anchor>
              </controlPr>
            </control>
          </mc:Choice>
        </mc:AlternateContent>
        <mc:AlternateContent xmlns:mc="http://schemas.openxmlformats.org/markup-compatibility/2006">
          <mc:Choice Requires="x14">
            <control shapeId="3080" r:id="rId8" name="Group Box 8">
              <controlPr defaultSize="0" autoFill="0" autoPict="0">
                <anchor moveWithCells="1">
                  <from>
                    <xdr:col>1</xdr:col>
                    <xdr:colOff>175260</xdr:colOff>
                    <xdr:row>3</xdr:row>
                    <xdr:rowOff>60960</xdr:rowOff>
                  </from>
                  <to>
                    <xdr:col>3</xdr:col>
                    <xdr:colOff>487680</xdr:colOff>
                    <xdr:row>19</xdr:row>
                    <xdr:rowOff>30480</xdr:rowOff>
                  </to>
                </anchor>
              </controlPr>
            </control>
          </mc:Choice>
        </mc:AlternateContent>
        <mc:AlternateContent xmlns:mc="http://schemas.openxmlformats.org/markup-compatibility/2006">
          <mc:Choice Requires="x14">
            <control shapeId="3081" r:id="rId9" name="Option Button 9">
              <controlPr defaultSize="0" autoFill="0" autoLine="0" autoPict="0">
                <anchor moveWithCells="1">
                  <from>
                    <xdr:col>8</xdr:col>
                    <xdr:colOff>60960</xdr:colOff>
                    <xdr:row>6</xdr:row>
                    <xdr:rowOff>91440</xdr:rowOff>
                  </from>
                  <to>
                    <xdr:col>9</xdr:col>
                    <xdr:colOff>182880</xdr:colOff>
                    <xdr:row>7</xdr:row>
                    <xdr:rowOff>121920</xdr:rowOff>
                  </to>
                </anchor>
              </controlPr>
            </control>
          </mc:Choice>
        </mc:AlternateContent>
        <mc:AlternateContent xmlns:mc="http://schemas.openxmlformats.org/markup-compatibility/2006">
          <mc:Choice Requires="x14">
            <control shapeId="3082" r:id="rId10" name="Option Button 10">
              <controlPr defaultSize="0" autoFill="0" autoLine="0" autoPict="0" altText="Jiná">
                <anchor moveWithCells="1">
                  <from>
                    <xdr:col>8</xdr:col>
                    <xdr:colOff>60960</xdr:colOff>
                    <xdr:row>7</xdr:row>
                    <xdr:rowOff>160020</xdr:rowOff>
                  </from>
                  <to>
                    <xdr:col>9</xdr:col>
                    <xdr:colOff>175260</xdr:colOff>
                    <xdr:row>9</xdr:row>
                    <xdr:rowOff>15240</xdr:rowOff>
                  </to>
                </anchor>
              </controlPr>
            </control>
          </mc:Choice>
        </mc:AlternateContent>
        <mc:AlternateContent xmlns:mc="http://schemas.openxmlformats.org/markup-compatibility/2006">
          <mc:Choice Requires="x14">
            <control shapeId="3084" r:id="rId11" name="Option Button 12">
              <controlPr defaultSize="0" autoFill="0" autoLine="0" autoPict="0">
                <anchor moveWithCells="1">
                  <from>
                    <xdr:col>6</xdr:col>
                    <xdr:colOff>548640</xdr:colOff>
                    <xdr:row>22</xdr:row>
                    <xdr:rowOff>160020</xdr:rowOff>
                  </from>
                  <to>
                    <xdr:col>8</xdr:col>
                    <xdr:colOff>220980</xdr:colOff>
                    <xdr:row>24</xdr:row>
                    <xdr:rowOff>7620</xdr:rowOff>
                  </to>
                </anchor>
              </controlPr>
            </control>
          </mc:Choice>
        </mc:AlternateContent>
        <mc:AlternateContent xmlns:mc="http://schemas.openxmlformats.org/markup-compatibility/2006">
          <mc:Choice Requires="x14">
            <control shapeId="3085" r:id="rId12" name="Option Button 13">
              <controlPr defaultSize="0" autoFill="0" autoLine="0" autoPict="0">
                <anchor moveWithCells="1">
                  <from>
                    <xdr:col>6</xdr:col>
                    <xdr:colOff>548640</xdr:colOff>
                    <xdr:row>24</xdr:row>
                    <xdr:rowOff>68580</xdr:rowOff>
                  </from>
                  <to>
                    <xdr:col>8</xdr:col>
                    <xdr:colOff>220980</xdr:colOff>
                    <xdr:row>25</xdr:row>
                    <xdr:rowOff>106680</xdr:rowOff>
                  </to>
                </anchor>
              </controlPr>
            </control>
          </mc:Choice>
        </mc:AlternateContent>
        <mc:AlternateContent xmlns:mc="http://schemas.openxmlformats.org/markup-compatibility/2006">
          <mc:Choice Requires="x14">
            <control shapeId="3086" r:id="rId13" name="Option Button 14">
              <controlPr defaultSize="0" autoFill="0" autoLine="0" autoPict="0">
                <anchor moveWithCells="1">
                  <from>
                    <xdr:col>6</xdr:col>
                    <xdr:colOff>548640</xdr:colOff>
                    <xdr:row>25</xdr:row>
                    <xdr:rowOff>175260</xdr:rowOff>
                  </from>
                  <to>
                    <xdr:col>8</xdr:col>
                    <xdr:colOff>220980</xdr:colOff>
                    <xdr:row>27</xdr:row>
                    <xdr:rowOff>22860</xdr:rowOff>
                  </to>
                </anchor>
              </controlPr>
            </control>
          </mc:Choice>
        </mc:AlternateContent>
        <mc:AlternateContent xmlns:mc="http://schemas.openxmlformats.org/markup-compatibility/2006">
          <mc:Choice Requires="x14">
            <control shapeId="3087" r:id="rId14" name="Option Button 15">
              <controlPr defaultSize="0" autoFill="0" autoLine="0" autoPict="0">
                <anchor moveWithCells="1">
                  <from>
                    <xdr:col>6</xdr:col>
                    <xdr:colOff>548640</xdr:colOff>
                    <xdr:row>27</xdr:row>
                    <xdr:rowOff>83820</xdr:rowOff>
                  </from>
                  <to>
                    <xdr:col>8</xdr:col>
                    <xdr:colOff>220980</xdr:colOff>
                    <xdr:row>28</xdr:row>
                    <xdr:rowOff>114300</xdr:rowOff>
                  </to>
                </anchor>
              </controlPr>
            </control>
          </mc:Choice>
        </mc:AlternateContent>
        <mc:AlternateContent xmlns:mc="http://schemas.openxmlformats.org/markup-compatibility/2006">
          <mc:Choice Requires="x14">
            <control shapeId="3088" r:id="rId15" name="Option Button 16">
              <controlPr defaultSize="0" autoFill="0" autoLine="0" autoPict="0">
                <anchor moveWithCells="1">
                  <from>
                    <xdr:col>8</xdr:col>
                    <xdr:colOff>441960</xdr:colOff>
                    <xdr:row>22</xdr:row>
                    <xdr:rowOff>175260</xdr:rowOff>
                  </from>
                  <to>
                    <xdr:col>10</xdr:col>
                    <xdr:colOff>198120</xdr:colOff>
                    <xdr:row>24</xdr:row>
                    <xdr:rowOff>22860</xdr:rowOff>
                  </to>
                </anchor>
              </controlPr>
            </control>
          </mc:Choice>
        </mc:AlternateContent>
        <mc:AlternateContent xmlns:mc="http://schemas.openxmlformats.org/markup-compatibility/2006">
          <mc:Choice Requires="x14">
            <control shapeId="3089" r:id="rId16" name="Option Button 17">
              <controlPr defaultSize="0" autoFill="0" autoLine="0" autoPict="0">
                <anchor moveWithCells="1">
                  <from>
                    <xdr:col>8</xdr:col>
                    <xdr:colOff>441960</xdr:colOff>
                    <xdr:row>24</xdr:row>
                    <xdr:rowOff>83820</xdr:rowOff>
                  </from>
                  <to>
                    <xdr:col>10</xdr:col>
                    <xdr:colOff>198120</xdr:colOff>
                    <xdr:row>25</xdr:row>
                    <xdr:rowOff>121920</xdr:rowOff>
                  </to>
                </anchor>
              </controlPr>
            </control>
          </mc:Choice>
        </mc:AlternateContent>
        <mc:AlternateContent xmlns:mc="http://schemas.openxmlformats.org/markup-compatibility/2006">
          <mc:Choice Requires="x14">
            <control shapeId="3090" r:id="rId17" name="Option Button 18">
              <controlPr defaultSize="0" autoFill="0" autoLine="0" autoPict="0">
                <anchor moveWithCells="1">
                  <from>
                    <xdr:col>8</xdr:col>
                    <xdr:colOff>441960</xdr:colOff>
                    <xdr:row>26</xdr:row>
                    <xdr:rowOff>7620</xdr:rowOff>
                  </from>
                  <to>
                    <xdr:col>10</xdr:col>
                    <xdr:colOff>198120</xdr:colOff>
                    <xdr:row>27</xdr:row>
                    <xdr:rowOff>38100</xdr:rowOff>
                  </to>
                </anchor>
              </controlPr>
            </control>
          </mc:Choice>
        </mc:AlternateContent>
        <mc:AlternateContent xmlns:mc="http://schemas.openxmlformats.org/markup-compatibility/2006">
          <mc:Choice Requires="x14">
            <control shapeId="3091" r:id="rId18" name="Option Button 19">
              <controlPr defaultSize="0" autoFill="0" autoLine="0" autoPict="0">
                <anchor moveWithCells="1">
                  <from>
                    <xdr:col>1</xdr:col>
                    <xdr:colOff>411480</xdr:colOff>
                    <xdr:row>22</xdr:row>
                    <xdr:rowOff>129540</xdr:rowOff>
                  </from>
                  <to>
                    <xdr:col>3</xdr:col>
                    <xdr:colOff>381000</xdr:colOff>
                    <xdr:row>23</xdr:row>
                    <xdr:rowOff>160020</xdr:rowOff>
                  </to>
                </anchor>
              </controlPr>
            </control>
          </mc:Choice>
        </mc:AlternateContent>
        <mc:AlternateContent xmlns:mc="http://schemas.openxmlformats.org/markup-compatibility/2006">
          <mc:Choice Requires="x14">
            <control shapeId="3092" r:id="rId19" name="Option Button 20">
              <controlPr defaultSize="0" autoFill="0" autoLine="0" autoPict="0">
                <anchor moveWithCells="1">
                  <from>
                    <xdr:col>1</xdr:col>
                    <xdr:colOff>403860</xdr:colOff>
                    <xdr:row>25</xdr:row>
                    <xdr:rowOff>182880</xdr:rowOff>
                  </from>
                  <to>
                    <xdr:col>3</xdr:col>
                    <xdr:colOff>160020</xdr:colOff>
                    <xdr:row>27</xdr:row>
                    <xdr:rowOff>30480</xdr:rowOff>
                  </to>
                </anchor>
              </controlPr>
            </control>
          </mc:Choice>
        </mc:AlternateContent>
        <mc:AlternateContent xmlns:mc="http://schemas.openxmlformats.org/markup-compatibility/2006">
          <mc:Choice Requires="x14">
            <control shapeId="3094" r:id="rId20" name="Group Box 22">
              <controlPr defaultSize="0" autoFill="0" autoPict="0">
                <anchor moveWithCells="1">
                  <from>
                    <xdr:col>6</xdr:col>
                    <xdr:colOff>213360</xdr:colOff>
                    <xdr:row>22</xdr:row>
                    <xdr:rowOff>7620</xdr:rowOff>
                  </from>
                  <to>
                    <xdr:col>10</xdr:col>
                    <xdr:colOff>441960</xdr:colOff>
                    <xdr:row>29</xdr:row>
                    <xdr:rowOff>160020</xdr:rowOff>
                  </to>
                </anchor>
              </controlPr>
            </control>
          </mc:Choice>
        </mc:AlternateContent>
        <mc:AlternateContent xmlns:mc="http://schemas.openxmlformats.org/markup-compatibility/2006">
          <mc:Choice Requires="x14">
            <control shapeId="3095" r:id="rId21" name="Option Button 23">
              <controlPr defaultSize="0" autoFill="0" autoLine="0" autoPict="0">
                <anchor moveWithCells="1">
                  <from>
                    <xdr:col>1</xdr:col>
                    <xdr:colOff>373380</xdr:colOff>
                    <xdr:row>32</xdr:row>
                    <xdr:rowOff>129540</xdr:rowOff>
                  </from>
                  <to>
                    <xdr:col>6</xdr:col>
                    <xdr:colOff>342900</xdr:colOff>
                    <xdr:row>33</xdr:row>
                    <xdr:rowOff>160020</xdr:rowOff>
                  </to>
                </anchor>
              </controlPr>
            </control>
          </mc:Choice>
        </mc:AlternateContent>
        <mc:AlternateContent xmlns:mc="http://schemas.openxmlformats.org/markup-compatibility/2006">
          <mc:Choice Requires="x14">
            <control shapeId="3096" r:id="rId22" name="Option Button 24">
              <controlPr defaultSize="0" autoFill="0" autoLine="0" autoPict="0">
                <anchor moveWithCells="1">
                  <from>
                    <xdr:col>1</xdr:col>
                    <xdr:colOff>373380</xdr:colOff>
                    <xdr:row>36</xdr:row>
                    <xdr:rowOff>137160</xdr:rowOff>
                  </from>
                  <to>
                    <xdr:col>5</xdr:col>
                    <xdr:colOff>312420</xdr:colOff>
                    <xdr:row>37</xdr:row>
                    <xdr:rowOff>175260</xdr:rowOff>
                  </to>
                </anchor>
              </controlPr>
            </control>
          </mc:Choice>
        </mc:AlternateContent>
        <mc:AlternateContent xmlns:mc="http://schemas.openxmlformats.org/markup-compatibility/2006">
          <mc:Choice Requires="x14">
            <control shapeId="3098" r:id="rId23" name="Group Box 26">
              <controlPr defaultSize="0" autoFill="0" autoPict="0">
                <anchor moveWithCells="1">
                  <from>
                    <xdr:col>1</xdr:col>
                    <xdr:colOff>228600</xdr:colOff>
                    <xdr:row>32</xdr:row>
                    <xdr:rowOff>30480</xdr:rowOff>
                  </from>
                  <to>
                    <xdr:col>7</xdr:col>
                    <xdr:colOff>167640</xdr:colOff>
                    <xdr:row>40</xdr:row>
                    <xdr:rowOff>175260</xdr:rowOff>
                  </to>
                </anchor>
              </controlPr>
            </control>
          </mc:Choice>
        </mc:AlternateContent>
        <mc:AlternateContent xmlns:mc="http://schemas.openxmlformats.org/markup-compatibility/2006">
          <mc:Choice Requires="x14">
            <control shapeId="3083" r:id="rId24" name="Group Box 11">
              <controlPr defaultSize="0" autoFill="0" autoPict="0">
                <anchor moveWithCells="1">
                  <from>
                    <xdr:col>8</xdr:col>
                    <xdr:colOff>213360</xdr:colOff>
                    <xdr:row>3</xdr:row>
                    <xdr:rowOff>76200</xdr:rowOff>
                  </from>
                  <to>
                    <xdr:col>9</xdr:col>
                    <xdr:colOff>487680</xdr:colOff>
                    <xdr:row>9</xdr:row>
                    <xdr:rowOff>121920</xdr:rowOff>
                  </to>
                </anchor>
              </controlPr>
            </control>
          </mc:Choice>
        </mc:AlternateContent>
        <mc:AlternateContent xmlns:mc="http://schemas.openxmlformats.org/markup-compatibility/2006">
          <mc:Choice Requires="x14">
            <control shapeId="3102" r:id="rId25" name="Option Button 30">
              <controlPr defaultSize="0" autoFill="0" autoLine="0" autoPict="0">
                <anchor moveWithCells="1">
                  <from>
                    <xdr:col>8</xdr:col>
                    <xdr:colOff>137160</xdr:colOff>
                    <xdr:row>32</xdr:row>
                    <xdr:rowOff>137160</xdr:rowOff>
                  </from>
                  <to>
                    <xdr:col>10</xdr:col>
                    <xdr:colOff>205740</xdr:colOff>
                    <xdr:row>33</xdr:row>
                    <xdr:rowOff>160020</xdr:rowOff>
                  </to>
                </anchor>
              </controlPr>
            </control>
          </mc:Choice>
        </mc:AlternateContent>
        <mc:AlternateContent xmlns:mc="http://schemas.openxmlformats.org/markup-compatibility/2006">
          <mc:Choice Requires="x14">
            <control shapeId="3103" r:id="rId26" name="Option Button 31">
              <controlPr defaultSize="0" autoFill="0" autoLine="0" autoPict="0">
                <anchor moveWithCells="1">
                  <from>
                    <xdr:col>8</xdr:col>
                    <xdr:colOff>137160</xdr:colOff>
                    <xdr:row>33</xdr:row>
                    <xdr:rowOff>144780</xdr:rowOff>
                  </from>
                  <to>
                    <xdr:col>10</xdr:col>
                    <xdr:colOff>205740</xdr:colOff>
                    <xdr:row>35</xdr:row>
                    <xdr:rowOff>0</xdr:rowOff>
                  </to>
                </anchor>
              </controlPr>
            </control>
          </mc:Choice>
        </mc:AlternateContent>
        <mc:AlternateContent xmlns:mc="http://schemas.openxmlformats.org/markup-compatibility/2006">
          <mc:Choice Requires="x14">
            <control shapeId="3105" r:id="rId27" name="Group Box 33">
              <controlPr defaultSize="0" autoFill="0" autoPict="0">
                <anchor moveWithCells="1">
                  <from>
                    <xdr:col>8</xdr:col>
                    <xdr:colOff>0</xdr:colOff>
                    <xdr:row>32</xdr:row>
                    <xdr:rowOff>15240</xdr:rowOff>
                  </from>
                  <to>
                    <xdr:col>10</xdr:col>
                    <xdr:colOff>426720</xdr:colOff>
                    <xdr:row>40</xdr:row>
                    <xdr:rowOff>160020</xdr:rowOff>
                  </to>
                </anchor>
              </controlPr>
            </control>
          </mc:Choice>
        </mc:AlternateContent>
        <mc:AlternateContent xmlns:mc="http://schemas.openxmlformats.org/markup-compatibility/2006">
          <mc:Choice Requires="x14">
            <control shapeId="3107" r:id="rId28" name="Group Box 35">
              <controlPr defaultSize="0" autoFill="0" autoPict="0">
                <anchor moveWithCells="1">
                  <from>
                    <xdr:col>1</xdr:col>
                    <xdr:colOff>236220</xdr:colOff>
                    <xdr:row>49</xdr:row>
                    <xdr:rowOff>53340</xdr:rowOff>
                  </from>
                  <to>
                    <xdr:col>7</xdr:col>
                    <xdr:colOff>175260</xdr:colOff>
                    <xdr:row>58</xdr:row>
                    <xdr:rowOff>7620</xdr:rowOff>
                  </to>
                </anchor>
              </controlPr>
            </control>
          </mc:Choice>
        </mc:AlternateContent>
        <mc:AlternateContent xmlns:mc="http://schemas.openxmlformats.org/markup-compatibility/2006">
          <mc:Choice Requires="x14">
            <control shapeId="3108" r:id="rId29" name="Option Button 36">
              <controlPr defaultSize="0" autoFill="0" autoLine="0" autoPict="0">
                <anchor moveWithCells="1">
                  <from>
                    <xdr:col>1</xdr:col>
                    <xdr:colOff>358140</xdr:colOff>
                    <xdr:row>49</xdr:row>
                    <xdr:rowOff>99060</xdr:rowOff>
                  </from>
                  <to>
                    <xdr:col>3</xdr:col>
                    <xdr:colOff>129540</xdr:colOff>
                    <xdr:row>50</xdr:row>
                    <xdr:rowOff>129540</xdr:rowOff>
                  </to>
                </anchor>
              </controlPr>
            </control>
          </mc:Choice>
        </mc:AlternateContent>
        <mc:AlternateContent xmlns:mc="http://schemas.openxmlformats.org/markup-compatibility/2006">
          <mc:Choice Requires="x14">
            <control shapeId="3109" r:id="rId30" name="Option Button 37">
              <controlPr defaultSize="0" autoFill="0" autoLine="0" autoPict="0">
                <anchor moveWithCells="1">
                  <from>
                    <xdr:col>1</xdr:col>
                    <xdr:colOff>350520</xdr:colOff>
                    <xdr:row>51</xdr:row>
                    <xdr:rowOff>68580</xdr:rowOff>
                  </from>
                  <to>
                    <xdr:col>3</xdr:col>
                    <xdr:colOff>121920</xdr:colOff>
                    <xdr:row>52</xdr:row>
                    <xdr:rowOff>91440</xdr:rowOff>
                  </to>
                </anchor>
              </controlPr>
            </control>
          </mc:Choice>
        </mc:AlternateContent>
        <mc:AlternateContent xmlns:mc="http://schemas.openxmlformats.org/markup-compatibility/2006">
          <mc:Choice Requires="x14">
            <control shapeId="3129" r:id="rId31" name="Group Box 57">
              <controlPr defaultSize="0" autoFill="0" autoPict="0">
                <anchor moveWithCells="1">
                  <from>
                    <xdr:col>1</xdr:col>
                    <xdr:colOff>228600</xdr:colOff>
                    <xdr:row>60</xdr:row>
                    <xdr:rowOff>76200</xdr:rowOff>
                  </from>
                  <to>
                    <xdr:col>7</xdr:col>
                    <xdr:colOff>182880</xdr:colOff>
                    <xdr:row>69</xdr:row>
                    <xdr:rowOff>99060</xdr:rowOff>
                  </to>
                </anchor>
              </controlPr>
            </control>
          </mc:Choice>
        </mc:AlternateContent>
        <mc:AlternateContent xmlns:mc="http://schemas.openxmlformats.org/markup-compatibility/2006">
          <mc:Choice Requires="x14">
            <control shapeId="3130" r:id="rId32" name="Option Button 58">
              <controlPr defaultSize="0" autoFill="0" autoLine="0" autoPict="0">
                <anchor moveWithCells="1">
                  <from>
                    <xdr:col>1</xdr:col>
                    <xdr:colOff>358140</xdr:colOff>
                    <xdr:row>60</xdr:row>
                    <xdr:rowOff>167640</xdr:rowOff>
                  </from>
                  <to>
                    <xdr:col>4</xdr:col>
                    <xdr:colOff>586740</xdr:colOff>
                    <xdr:row>62</xdr:row>
                    <xdr:rowOff>22860</xdr:rowOff>
                  </to>
                </anchor>
              </controlPr>
            </control>
          </mc:Choice>
        </mc:AlternateContent>
        <mc:AlternateContent xmlns:mc="http://schemas.openxmlformats.org/markup-compatibility/2006">
          <mc:Choice Requires="x14">
            <control shapeId="3131" r:id="rId33" name="Option Button 59">
              <controlPr defaultSize="0" autoFill="0" autoLine="0" autoPict="0">
                <anchor moveWithCells="1">
                  <from>
                    <xdr:col>1</xdr:col>
                    <xdr:colOff>365760</xdr:colOff>
                    <xdr:row>62</xdr:row>
                    <xdr:rowOff>167640</xdr:rowOff>
                  </from>
                  <to>
                    <xdr:col>5</xdr:col>
                    <xdr:colOff>411480</xdr:colOff>
                    <xdr:row>64</xdr:row>
                    <xdr:rowOff>68580</xdr:rowOff>
                  </to>
                </anchor>
              </controlPr>
            </control>
          </mc:Choice>
        </mc:AlternateContent>
        <mc:AlternateContent xmlns:mc="http://schemas.openxmlformats.org/markup-compatibility/2006">
          <mc:Choice Requires="x14">
            <control shapeId="3132" r:id="rId34" name="Option Button 60">
              <controlPr defaultSize="0" autoFill="0" autoLine="0" autoPict="0">
                <anchor moveWithCells="1">
                  <from>
                    <xdr:col>1</xdr:col>
                    <xdr:colOff>365760</xdr:colOff>
                    <xdr:row>65</xdr:row>
                    <xdr:rowOff>22860</xdr:rowOff>
                  </from>
                  <to>
                    <xdr:col>6</xdr:col>
                    <xdr:colOff>129540</xdr:colOff>
                    <xdr:row>66</xdr:row>
                    <xdr:rowOff>83820</xdr:rowOff>
                  </to>
                </anchor>
              </controlPr>
            </control>
          </mc:Choice>
        </mc:AlternateContent>
        <mc:AlternateContent xmlns:mc="http://schemas.openxmlformats.org/markup-compatibility/2006">
          <mc:Choice Requires="x14">
            <control shapeId="3134" r:id="rId35" name="Group Box 62">
              <controlPr defaultSize="0" autoFill="0" autoPict="0">
                <anchor moveWithCells="1">
                  <from>
                    <xdr:col>1</xdr:col>
                    <xdr:colOff>220980</xdr:colOff>
                    <xdr:row>43</xdr:row>
                    <xdr:rowOff>30480</xdr:rowOff>
                  </from>
                  <to>
                    <xdr:col>7</xdr:col>
                    <xdr:colOff>175260</xdr:colOff>
                    <xdr:row>47</xdr:row>
                    <xdr:rowOff>205740</xdr:rowOff>
                  </to>
                </anchor>
              </controlPr>
            </control>
          </mc:Choice>
        </mc:AlternateContent>
        <mc:AlternateContent xmlns:mc="http://schemas.openxmlformats.org/markup-compatibility/2006">
          <mc:Choice Requires="x14">
            <control shapeId="3135" r:id="rId36" name="Option Button 63">
              <controlPr defaultSize="0" autoFill="0" autoLine="0" autoPict="0">
                <anchor moveWithCells="1">
                  <from>
                    <xdr:col>1</xdr:col>
                    <xdr:colOff>358140</xdr:colOff>
                    <xdr:row>43</xdr:row>
                    <xdr:rowOff>152400</xdr:rowOff>
                  </from>
                  <to>
                    <xdr:col>6</xdr:col>
                    <xdr:colOff>190500</xdr:colOff>
                    <xdr:row>45</xdr:row>
                    <xdr:rowOff>7620</xdr:rowOff>
                  </to>
                </anchor>
              </controlPr>
            </control>
          </mc:Choice>
        </mc:AlternateContent>
        <mc:AlternateContent xmlns:mc="http://schemas.openxmlformats.org/markup-compatibility/2006">
          <mc:Choice Requires="x14">
            <control shapeId="3136" r:id="rId37" name="Option Button 64">
              <controlPr defaultSize="0" autoFill="0" autoLine="0" autoPict="0">
                <anchor moveWithCells="1">
                  <from>
                    <xdr:col>1</xdr:col>
                    <xdr:colOff>358140</xdr:colOff>
                    <xdr:row>44</xdr:row>
                    <xdr:rowOff>160020</xdr:rowOff>
                  </from>
                  <to>
                    <xdr:col>3</xdr:col>
                    <xdr:colOff>434340</xdr:colOff>
                    <xdr:row>46</xdr:row>
                    <xdr:rowOff>15240</xdr:rowOff>
                  </to>
                </anchor>
              </controlPr>
            </control>
          </mc:Choice>
        </mc:AlternateContent>
        <mc:AlternateContent xmlns:mc="http://schemas.openxmlformats.org/markup-compatibility/2006">
          <mc:Choice Requires="x14">
            <control shapeId="3137" r:id="rId38" name="Check Box 65">
              <controlPr defaultSize="0" autoFill="0" autoLine="0" autoPict="0">
                <anchor moveWithCells="1">
                  <from>
                    <xdr:col>3</xdr:col>
                    <xdr:colOff>312420</xdr:colOff>
                    <xdr:row>44</xdr:row>
                    <xdr:rowOff>160020</xdr:rowOff>
                  </from>
                  <to>
                    <xdr:col>4</xdr:col>
                    <xdr:colOff>243840</xdr:colOff>
                    <xdr:row>46</xdr:row>
                    <xdr:rowOff>15240</xdr:rowOff>
                  </to>
                </anchor>
              </controlPr>
            </control>
          </mc:Choice>
        </mc:AlternateContent>
        <mc:AlternateContent xmlns:mc="http://schemas.openxmlformats.org/markup-compatibility/2006">
          <mc:Choice Requires="x14">
            <control shapeId="3138" r:id="rId39" name="Check Box 66">
              <controlPr defaultSize="0" autoFill="0" autoLine="0" autoPict="0">
                <anchor moveWithCells="1">
                  <from>
                    <xdr:col>4</xdr:col>
                    <xdr:colOff>220980</xdr:colOff>
                    <xdr:row>44</xdr:row>
                    <xdr:rowOff>167640</xdr:rowOff>
                  </from>
                  <to>
                    <xdr:col>5</xdr:col>
                    <xdr:colOff>152400</xdr:colOff>
                    <xdr:row>46</xdr:row>
                    <xdr:rowOff>22860</xdr:rowOff>
                  </to>
                </anchor>
              </controlPr>
            </control>
          </mc:Choice>
        </mc:AlternateContent>
        <mc:AlternateContent xmlns:mc="http://schemas.openxmlformats.org/markup-compatibility/2006">
          <mc:Choice Requires="x14">
            <control shapeId="3139" r:id="rId40" name="Check Box 67">
              <controlPr defaultSize="0" autoFill="0" autoLine="0" autoPict="0">
                <anchor moveWithCells="1">
                  <from>
                    <xdr:col>5</xdr:col>
                    <xdr:colOff>60960</xdr:colOff>
                    <xdr:row>44</xdr:row>
                    <xdr:rowOff>160020</xdr:rowOff>
                  </from>
                  <to>
                    <xdr:col>5</xdr:col>
                    <xdr:colOff>594360</xdr:colOff>
                    <xdr:row>46</xdr:row>
                    <xdr:rowOff>15240</xdr:rowOff>
                  </to>
                </anchor>
              </controlPr>
            </control>
          </mc:Choice>
        </mc:AlternateContent>
        <mc:AlternateContent xmlns:mc="http://schemas.openxmlformats.org/markup-compatibility/2006">
          <mc:Choice Requires="x14">
            <control shapeId="3140" r:id="rId41" name="Group Box 68">
              <controlPr defaultSize="0" autoFill="0" autoPict="0">
                <anchor moveWithCells="1">
                  <from>
                    <xdr:col>7</xdr:col>
                    <xdr:colOff>533400</xdr:colOff>
                    <xdr:row>43</xdr:row>
                    <xdr:rowOff>22860</xdr:rowOff>
                  </from>
                  <to>
                    <xdr:col>10</xdr:col>
                    <xdr:colOff>411480</xdr:colOff>
                    <xdr:row>47</xdr:row>
                    <xdr:rowOff>205740</xdr:rowOff>
                  </to>
                </anchor>
              </controlPr>
            </control>
          </mc:Choice>
        </mc:AlternateContent>
        <mc:AlternateContent xmlns:mc="http://schemas.openxmlformats.org/markup-compatibility/2006">
          <mc:Choice Requires="x14">
            <control shapeId="3141" r:id="rId42" name="Option Button 69">
              <controlPr defaultSize="0" autoFill="0" autoLine="0" autoPict="0">
                <anchor moveWithCells="1">
                  <from>
                    <xdr:col>8</xdr:col>
                    <xdr:colOff>129540</xdr:colOff>
                    <xdr:row>43</xdr:row>
                    <xdr:rowOff>91440</xdr:rowOff>
                  </from>
                  <to>
                    <xdr:col>10</xdr:col>
                    <xdr:colOff>236220</xdr:colOff>
                    <xdr:row>44</xdr:row>
                    <xdr:rowOff>129540</xdr:rowOff>
                  </to>
                </anchor>
              </controlPr>
            </control>
          </mc:Choice>
        </mc:AlternateContent>
        <mc:AlternateContent xmlns:mc="http://schemas.openxmlformats.org/markup-compatibility/2006">
          <mc:Choice Requires="x14">
            <control shapeId="3142" r:id="rId43" name="Option Button 70">
              <controlPr defaultSize="0" autoFill="0" autoLine="0" autoPict="0">
                <anchor moveWithCells="1">
                  <from>
                    <xdr:col>8</xdr:col>
                    <xdr:colOff>121920</xdr:colOff>
                    <xdr:row>45</xdr:row>
                    <xdr:rowOff>160020</xdr:rowOff>
                  </from>
                  <to>
                    <xdr:col>10</xdr:col>
                    <xdr:colOff>190500</xdr:colOff>
                    <xdr:row>47</xdr:row>
                    <xdr:rowOff>15240</xdr:rowOff>
                  </to>
                </anchor>
              </controlPr>
            </control>
          </mc:Choice>
        </mc:AlternateContent>
        <mc:AlternateContent xmlns:mc="http://schemas.openxmlformats.org/markup-compatibility/2006">
          <mc:Choice Requires="x14">
            <control shapeId="3143" r:id="rId44" name="Group Box 71">
              <controlPr defaultSize="0" autoFill="0" autoPict="0">
                <anchor moveWithCells="1">
                  <from>
                    <xdr:col>8</xdr:col>
                    <xdr:colOff>15240</xdr:colOff>
                    <xdr:row>49</xdr:row>
                    <xdr:rowOff>60960</xdr:rowOff>
                  </from>
                  <to>
                    <xdr:col>10</xdr:col>
                    <xdr:colOff>403860</xdr:colOff>
                    <xdr:row>64</xdr:row>
                    <xdr:rowOff>121920</xdr:rowOff>
                  </to>
                </anchor>
              </controlPr>
            </control>
          </mc:Choice>
        </mc:AlternateContent>
        <mc:AlternateContent xmlns:mc="http://schemas.openxmlformats.org/markup-compatibility/2006">
          <mc:Choice Requires="x14">
            <control shapeId="3144" r:id="rId45" name="Option Button 72">
              <controlPr defaultSize="0" autoFill="0" autoLine="0" autoPict="0">
                <anchor moveWithCells="1">
                  <from>
                    <xdr:col>8</xdr:col>
                    <xdr:colOff>76200</xdr:colOff>
                    <xdr:row>50</xdr:row>
                    <xdr:rowOff>60960</xdr:rowOff>
                  </from>
                  <to>
                    <xdr:col>10</xdr:col>
                    <xdr:colOff>198120</xdr:colOff>
                    <xdr:row>51</xdr:row>
                    <xdr:rowOff>76200</xdr:rowOff>
                  </to>
                </anchor>
              </controlPr>
            </control>
          </mc:Choice>
        </mc:AlternateContent>
        <mc:AlternateContent xmlns:mc="http://schemas.openxmlformats.org/markup-compatibility/2006">
          <mc:Choice Requires="x14">
            <control shapeId="3147" r:id="rId46" name="Option Button 75">
              <controlPr defaultSize="0" autoFill="0" autoLine="0" autoPict="0">
                <anchor moveWithCells="1">
                  <from>
                    <xdr:col>8</xdr:col>
                    <xdr:colOff>83820</xdr:colOff>
                    <xdr:row>51</xdr:row>
                    <xdr:rowOff>38100</xdr:rowOff>
                  </from>
                  <to>
                    <xdr:col>10</xdr:col>
                    <xdr:colOff>312420</xdr:colOff>
                    <xdr:row>52</xdr:row>
                    <xdr:rowOff>129540</xdr:rowOff>
                  </to>
                </anchor>
              </controlPr>
            </control>
          </mc:Choice>
        </mc:AlternateContent>
        <mc:AlternateContent xmlns:mc="http://schemas.openxmlformats.org/markup-compatibility/2006">
          <mc:Choice Requires="x14">
            <control shapeId="3148" r:id="rId47" name="Option Button 76">
              <controlPr defaultSize="0" autoFill="0" autoLine="0" autoPict="0">
                <anchor moveWithCells="1">
                  <from>
                    <xdr:col>8</xdr:col>
                    <xdr:colOff>76200</xdr:colOff>
                    <xdr:row>52</xdr:row>
                    <xdr:rowOff>106680</xdr:rowOff>
                  </from>
                  <to>
                    <xdr:col>10</xdr:col>
                    <xdr:colOff>312420</xdr:colOff>
                    <xdr:row>53</xdr:row>
                    <xdr:rowOff>137160</xdr:rowOff>
                  </to>
                </anchor>
              </controlPr>
            </control>
          </mc:Choice>
        </mc:AlternateContent>
        <mc:AlternateContent xmlns:mc="http://schemas.openxmlformats.org/markup-compatibility/2006">
          <mc:Choice Requires="x14">
            <control shapeId="3149" r:id="rId48" name="Option Button 77">
              <controlPr defaultSize="0" autoFill="0" autoLine="0" autoPict="0">
                <anchor moveWithCells="1">
                  <from>
                    <xdr:col>8</xdr:col>
                    <xdr:colOff>76200</xdr:colOff>
                    <xdr:row>54</xdr:row>
                    <xdr:rowOff>91440</xdr:rowOff>
                  </from>
                  <to>
                    <xdr:col>10</xdr:col>
                    <xdr:colOff>297180</xdr:colOff>
                    <xdr:row>56</xdr:row>
                    <xdr:rowOff>7620</xdr:rowOff>
                  </to>
                </anchor>
              </controlPr>
            </control>
          </mc:Choice>
        </mc:AlternateContent>
        <mc:AlternateContent xmlns:mc="http://schemas.openxmlformats.org/markup-compatibility/2006">
          <mc:Choice Requires="x14">
            <control shapeId="3150" r:id="rId49" name="Check Box 78">
              <controlPr defaultSize="0" autoFill="0" autoLine="0" autoPict="0">
                <anchor moveWithCells="1">
                  <from>
                    <xdr:col>8</xdr:col>
                    <xdr:colOff>106680</xdr:colOff>
                    <xdr:row>59</xdr:row>
                    <xdr:rowOff>22860</xdr:rowOff>
                  </from>
                  <to>
                    <xdr:col>10</xdr:col>
                    <xdr:colOff>83820</xdr:colOff>
                    <xdr:row>60</xdr:row>
                    <xdr:rowOff>15240</xdr:rowOff>
                  </to>
                </anchor>
              </controlPr>
            </control>
          </mc:Choice>
        </mc:AlternateContent>
        <mc:AlternateContent xmlns:mc="http://schemas.openxmlformats.org/markup-compatibility/2006">
          <mc:Choice Requires="x14">
            <control shapeId="3151" r:id="rId50" name="Group Box 79">
              <controlPr defaultSize="0" autoFill="0" autoPict="0">
                <anchor moveWithCells="1">
                  <from>
                    <xdr:col>8</xdr:col>
                    <xdr:colOff>30480</xdr:colOff>
                    <xdr:row>67</xdr:row>
                    <xdr:rowOff>53340</xdr:rowOff>
                  </from>
                  <to>
                    <xdr:col>10</xdr:col>
                    <xdr:colOff>403860</xdr:colOff>
                    <xdr:row>75</xdr:row>
                    <xdr:rowOff>137160</xdr:rowOff>
                  </to>
                </anchor>
              </controlPr>
            </control>
          </mc:Choice>
        </mc:AlternateContent>
        <mc:AlternateContent xmlns:mc="http://schemas.openxmlformats.org/markup-compatibility/2006">
          <mc:Choice Requires="x14">
            <control shapeId="3156" r:id="rId51" name="Group Box 84">
              <controlPr defaultSize="0" autoFill="0" autoPict="0">
                <anchor moveWithCells="1">
                  <from>
                    <xdr:col>1</xdr:col>
                    <xdr:colOff>236220</xdr:colOff>
                    <xdr:row>22</xdr:row>
                    <xdr:rowOff>15240</xdr:rowOff>
                  </from>
                  <to>
                    <xdr:col>4</xdr:col>
                    <xdr:colOff>510540</xdr:colOff>
                    <xdr:row>29</xdr:row>
                    <xdr:rowOff>152400</xdr:rowOff>
                  </to>
                </anchor>
              </controlPr>
            </control>
          </mc:Choice>
        </mc:AlternateContent>
        <mc:AlternateContent xmlns:mc="http://schemas.openxmlformats.org/markup-compatibility/2006">
          <mc:Choice Requires="x14">
            <control shapeId="3157" r:id="rId52" name="Button 85">
              <controlPr defaultSize="0" print="0" autoFill="0" autoPict="0" macro="[0]!Button49_Click">
                <anchor moveWithCells="1" sizeWithCells="1">
                  <from>
                    <xdr:col>9</xdr:col>
                    <xdr:colOff>137160</xdr:colOff>
                    <xdr:row>0</xdr:row>
                    <xdr:rowOff>22860</xdr:rowOff>
                  </from>
                  <to>
                    <xdr:col>10</xdr:col>
                    <xdr:colOff>586740</xdr:colOff>
                    <xdr:row>1</xdr:row>
                    <xdr:rowOff>60960</xdr:rowOff>
                  </to>
                </anchor>
              </controlPr>
            </control>
          </mc:Choice>
        </mc:AlternateContent>
        <mc:AlternateContent xmlns:mc="http://schemas.openxmlformats.org/markup-compatibility/2006">
          <mc:Choice Requires="x14">
            <control shapeId="3158" r:id="rId53" name="Option Button 86">
              <controlPr defaultSize="0" autoFill="0" autoLine="0" autoPict="0">
                <anchor moveWithCells="1">
                  <from>
                    <xdr:col>8</xdr:col>
                    <xdr:colOff>152400</xdr:colOff>
                    <xdr:row>39</xdr:row>
                    <xdr:rowOff>30480</xdr:rowOff>
                  </from>
                  <to>
                    <xdr:col>10</xdr:col>
                    <xdr:colOff>190500</xdr:colOff>
                    <xdr:row>40</xdr:row>
                    <xdr:rowOff>68580</xdr:rowOff>
                  </to>
                </anchor>
              </controlPr>
            </control>
          </mc:Choice>
        </mc:AlternateContent>
        <mc:AlternateContent xmlns:mc="http://schemas.openxmlformats.org/markup-compatibility/2006">
          <mc:Choice Requires="x14">
            <control shapeId="3164" r:id="rId54" name="Check Box 92">
              <controlPr defaultSize="0" autoFill="0" autoLine="0" autoPict="0">
                <anchor moveWithCells="1">
                  <from>
                    <xdr:col>4</xdr:col>
                    <xdr:colOff>289560</xdr:colOff>
                    <xdr:row>56</xdr:row>
                    <xdr:rowOff>53340</xdr:rowOff>
                  </from>
                  <to>
                    <xdr:col>5</xdr:col>
                    <xdr:colOff>53340</xdr:colOff>
                    <xdr:row>57</xdr:row>
                    <xdr:rowOff>121920</xdr:rowOff>
                  </to>
                </anchor>
              </controlPr>
            </control>
          </mc:Choice>
        </mc:AlternateContent>
        <mc:AlternateContent xmlns:mc="http://schemas.openxmlformats.org/markup-compatibility/2006">
          <mc:Choice Requires="x14">
            <control shapeId="3167" r:id="rId55" name="Check Box 95">
              <controlPr defaultSize="0" autoFill="0" autoLine="0" autoPict="0">
                <anchor moveWithCells="1">
                  <from>
                    <xdr:col>6</xdr:col>
                    <xdr:colOff>251460</xdr:colOff>
                    <xdr:row>56</xdr:row>
                    <xdr:rowOff>53340</xdr:rowOff>
                  </from>
                  <to>
                    <xdr:col>7</xdr:col>
                    <xdr:colOff>53340</xdr:colOff>
                    <xdr:row>57</xdr:row>
                    <xdr:rowOff>121920</xdr:rowOff>
                  </to>
                </anchor>
              </controlPr>
            </control>
          </mc:Choice>
        </mc:AlternateContent>
        <mc:AlternateContent xmlns:mc="http://schemas.openxmlformats.org/markup-compatibility/2006">
          <mc:Choice Requires="x14">
            <control shapeId="3174" r:id="rId56" name="Check Box 102">
              <controlPr defaultSize="0" autoFill="0" autoLine="0" autoPict="0">
                <anchor moveWithCells="1">
                  <from>
                    <xdr:col>5</xdr:col>
                    <xdr:colOff>441960</xdr:colOff>
                    <xdr:row>56</xdr:row>
                    <xdr:rowOff>53340</xdr:rowOff>
                  </from>
                  <to>
                    <xdr:col>6</xdr:col>
                    <xdr:colOff>243840</xdr:colOff>
                    <xdr:row>57</xdr:row>
                    <xdr:rowOff>121920</xdr:rowOff>
                  </to>
                </anchor>
              </controlPr>
            </control>
          </mc:Choice>
        </mc:AlternateContent>
        <mc:AlternateContent xmlns:mc="http://schemas.openxmlformats.org/markup-compatibility/2006">
          <mc:Choice Requires="x14">
            <control shapeId="3175" r:id="rId57" name="Check Box 103">
              <controlPr defaultSize="0" autoFill="0" autoLine="0" autoPict="0">
                <anchor moveWithCells="1">
                  <from>
                    <xdr:col>5</xdr:col>
                    <xdr:colOff>60960</xdr:colOff>
                    <xdr:row>56</xdr:row>
                    <xdr:rowOff>53340</xdr:rowOff>
                  </from>
                  <to>
                    <xdr:col>5</xdr:col>
                    <xdr:colOff>472440</xdr:colOff>
                    <xdr:row>57</xdr:row>
                    <xdr:rowOff>121920</xdr:rowOff>
                  </to>
                </anchor>
              </controlPr>
            </control>
          </mc:Choice>
        </mc:AlternateContent>
        <mc:AlternateContent xmlns:mc="http://schemas.openxmlformats.org/markup-compatibility/2006">
          <mc:Choice Requires="x14">
            <control shapeId="3180" r:id="rId58" name="Check Box 108">
              <controlPr defaultSize="0" autoFill="0" autoLine="0" autoPict="0">
                <anchor moveWithCells="1">
                  <from>
                    <xdr:col>4</xdr:col>
                    <xdr:colOff>289560</xdr:colOff>
                    <xdr:row>55</xdr:row>
                    <xdr:rowOff>7620</xdr:rowOff>
                  </from>
                  <to>
                    <xdr:col>5</xdr:col>
                    <xdr:colOff>53340</xdr:colOff>
                    <xdr:row>56</xdr:row>
                    <xdr:rowOff>91440</xdr:rowOff>
                  </to>
                </anchor>
              </controlPr>
            </control>
          </mc:Choice>
        </mc:AlternateContent>
        <mc:AlternateContent xmlns:mc="http://schemas.openxmlformats.org/markup-compatibility/2006">
          <mc:Choice Requires="x14">
            <control shapeId="3181" r:id="rId59" name="Check Box 109">
              <controlPr defaultSize="0" autoFill="0" autoLine="0" autoPict="0">
                <anchor moveWithCells="1">
                  <from>
                    <xdr:col>6</xdr:col>
                    <xdr:colOff>251460</xdr:colOff>
                    <xdr:row>55</xdr:row>
                    <xdr:rowOff>7620</xdr:rowOff>
                  </from>
                  <to>
                    <xdr:col>7</xdr:col>
                    <xdr:colOff>53340</xdr:colOff>
                    <xdr:row>56</xdr:row>
                    <xdr:rowOff>83820</xdr:rowOff>
                  </to>
                </anchor>
              </controlPr>
            </control>
          </mc:Choice>
        </mc:AlternateContent>
        <mc:AlternateContent xmlns:mc="http://schemas.openxmlformats.org/markup-compatibility/2006">
          <mc:Choice Requires="x14">
            <control shapeId="3182" r:id="rId60" name="Check Box 110">
              <controlPr defaultSize="0" autoFill="0" autoLine="0" autoPict="0">
                <anchor moveWithCells="1">
                  <from>
                    <xdr:col>5</xdr:col>
                    <xdr:colOff>441960</xdr:colOff>
                    <xdr:row>55</xdr:row>
                    <xdr:rowOff>15240</xdr:rowOff>
                  </from>
                  <to>
                    <xdr:col>6</xdr:col>
                    <xdr:colOff>243840</xdr:colOff>
                    <xdr:row>56</xdr:row>
                    <xdr:rowOff>83820</xdr:rowOff>
                  </to>
                </anchor>
              </controlPr>
            </control>
          </mc:Choice>
        </mc:AlternateContent>
        <mc:AlternateContent xmlns:mc="http://schemas.openxmlformats.org/markup-compatibility/2006">
          <mc:Choice Requires="x14">
            <control shapeId="3183" r:id="rId61" name="Check Box 111">
              <controlPr defaultSize="0" autoFill="0" autoLine="0" autoPict="0">
                <anchor moveWithCells="1">
                  <from>
                    <xdr:col>5</xdr:col>
                    <xdr:colOff>60960</xdr:colOff>
                    <xdr:row>55</xdr:row>
                    <xdr:rowOff>15240</xdr:rowOff>
                  </from>
                  <to>
                    <xdr:col>5</xdr:col>
                    <xdr:colOff>472440</xdr:colOff>
                    <xdr:row>56</xdr:row>
                    <xdr:rowOff>60960</xdr:rowOff>
                  </to>
                </anchor>
              </controlPr>
            </control>
          </mc:Choice>
        </mc:AlternateContent>
        <mc:AlternateContent xmlns:mc="http://schemas.openxmlformats.org/markup-compatibility/2006">
          <mc:Choice Requires="x14">
            <control shapeId="3184" r:id="rId62" name="Check Box 112">
              <controlPr defaultSize="0" autoFill="0" autoLine="0" autoPict="0">
                <anchor moveWithCells="1">
                  <from>
                    <xdr:col>4</xdr:col>
                    <xdr:colOff>289560</xdr:colOff>
                    <xdr:row>53</xdr:row>
                    <xdr:rowOff>281940</xdr:rowOff>
                  </from>
                  <to>
                    <xdr:col>5</xdr:col>
                    <xdr:colOff>53340</xdr:colOff>
                    <xdr:row>55</xdr:row>
                    <xdr:rowOff>30480</xdr:rowOff>
                  </to>
                </anchor>
              </controlPr>
            </control>
          </mc:Choice>
        </mc:AlternateContent>
        <mc:AlternateContent xmlns:mc="http://schemas.openxmlformats.org/markup-compatibility/2006">
          <mc:Choice Requires="x14">
            <control shapeId="3185" r:id="rId63" name="Check Box 113">
              <controlPr defaultSize="0" autoFill="0" autoLine="0" autoPict="0">
                <anchor moveWithCells="1">
                  <from>
                    <xdr:col>6</xdr:col>
                    <xdr:colOff>251460</xdr:colOff>
                    <xdr:row>53</xdr:row>
                    <xdr:rowOff>281940</xdr:rowOff>
                  </from>
                  <to>
                    <xdr:col>7</xdr:col>
                    <xdr:colOff>53340</xdr:colOff>
                    <xdr:row>55</xdr:row>
                    <xdr:rowOff>30480</xdr:rowOff>
                  </to>
                </anchor>
              </controlPr>
            </control>
          </mc:Choice>
        </mc:AlternateContent>
        <mc:AlternateContent xmlns:mc="http://schemas.openxmlformats.org/markup-compatibility/2006">
          <mc:Choice Requires="x14">
            <control shapeId="3186" r:id="rId64" name="Check Box 114">
              <controlPr defaultSize="0" autoFill="0" autoLine="0" autoPict="0">
                <anchor moveWithCells="1">
                  <from>
                    <xdr:col>5</xdr:col>
                    <xdr:colOff>441960</xdr:colOff>
                    <xdr:row>53</xdr:row>
                    <xdr:rowOff>281940</xdr:rowOff>
                  </from>
                  <to>
                    <xdr:col>6</xdr:col>
                    <xdr:colOff>243840</xdr:colOff>
                    <xdr:row>55</xdr:row>
                    <xdr:rowOff>7620</xdr:rowOff>
                  </to>
                </anchor>
              </controlPr>
            </control>
          </mc:Choice>
        </mc:AlternateContent>
        <mc:AlternateContent xmlns:mc="http://schemas.openxmlformats.org/markup-compatibility/2006">
          <mc:Choice Requires="x14">
            <control shapeId="3187" r:id="rId65" name="Check Box 115">
              <controlPr defaultSize="0" autoFill="0" autoLine="0" autoPict="0">
                <anchor moveWithCells="1">
                  <from>
                    <xdr:col>5</xdr:col>
                    <xdr:colOff>60960</xdr:colOff>
                    <xdr:row>53</xdr:row>
                    <xdr:rowOff>281940</xdr:rowOff>
                  </from>
                  <to>
                    <xdr:col>5</xdr:col>
                    <xdr:colOff>472440</xdr:colOff>
                    <xdr:row>55</xdr:row>
                    <xdr:rowOff>7620</xdr:rowOff>
                  </to>
                </anchor>
              </controlPr>
            </control>
          </mc:Choice>
        </mc:AlternateContent>
        <mc:AlternateContent xmlns:mc="http://schemas.openxmlformats.org/markup-compatibility/2006">
          <mc:Choice Requires="x14">
            <control shapeId="3188" r:id="rId66" name="Group Box 116">
              <controlPr defaultSize="0" autoFill="0" autoPict="0">
                <anchor moveWithCells="1">
                  <from>
                    <xdr:col>1</xdr:col>
                    <xdr:colOff>220980</xdr:colOff>
                    <xdr:row>71</xdr:row>
                    <xdr:rowOff>76200</xdr:rowOff>
                  </from>
                  <to>
                    <xdr:col>7</xdr:col>
                    <xdr:colOff>167640</xdr:colOff>
                    <xdr:row>75</xdr:row>
                    <xdr:rowOff>152400</xdr:rowOff>
                  </to>
                </anchor>
              </controlPr>
            </control>
          </mc:Choice>
        </mc:AlternateContent>
        <mc:AlternateContent xmlns:mc="http://schemas.openxmlformats.org/markup-compatibility/2006">
          <mc:Choice Requires="x14">
            <control shapeId="3189" r:id="rId67" name="Option Button 117">
              <controlPr defaultSize="0" autoFill="0" autoLine="0" autoPict="0">
                <anchor moveWithCells="1">
                  <from>
                    <xdr:col>1</xdr:col>
                    <xdr:colOff>358140</xdr:colOff>
                    <xdr:row>71</xdr:row>
                    <xdr:rowOff>152400</xdr:rowOff>
                  </from>
                  <to>
                    <xdr:col>3</xdr:col>
                    <xdr:colOff>205740</xdr:colOff>
                    <xdr:row>73</xdr:row>
                    <xdr:rowOff>15240</xdr:rowOff>
                  </to>
                </anchor>
              </controlPr>
            </control>
          </mc:Choice>
        </mc:AlternateContent>
        <mc:AlternateContent xmlns:mc="http://schemas.openxmlformats.org/markup-compatibility/2006">
          <mc:Choice Requires="x14">
            <control shapeId="3193" r:id="rId68" name="Group Box 121">
              <controlPr defaultSize="0" autoFill="0" autoPict="0">
                <anchor moveWithCells="1">
                  <from>
                    <xdr:col>6</xdr:col>
                    <xdr:colOff>68580</xdr:colOff>
                    <xdr:row>78</xdr:row>
                    <xdr:rowOff>60960</xdr:rowOff>
                  </from>
                  <to>
                    <xdr:col>10</xdr:col>
                    <xdr:colOff>441960</xdr:colOff>
                    <xdr:row>85</xdr:row>
                    <xdr:rowOff>91440</xdr:rowOff>
                  </to>
                </anchor>
              </controlPr>
            </control>
          </mc:Choice>
        </mc:AlternateContent>
        <mc:AlternateContent xmlns:mc="http://schemas.openxmlformats.org/markup-compatibility/2006">
          <mc:Choice Requires="x14">
            <control shapeId="3194" r:id="rId69" name="Option Button 122">
              <controlPr defaultSize="0" autoFill="0" autoLine="0" autoPict="0">
                <anchor moveWithCells="1">
                  <from>
                    <xdr:col>8</xdr:col>
                    <xdr:colOff>342900</xdr:colOff>
                    <xdr:row>78</xdr:row>
                    <xdr:rowOff>144780</xdr:rowOff>
                  </from>
                  <to>
                    <xdr:col>10</xdr:col>
                    <xdr:colOff>190500</xdr:colOff>
                    <xdr:row>79</xdr:row>
                    <xdr:rowOff>152400</xdr:rowOff>
                  </to>
                </anchor>
              </controlPr>
            </control>
          </mc:Choice>
        </mc:AlternateContent>
        <mc:AlternateContent xmlns:mc="http://schemas.openxmlformats.org/markup-compatibility/2006">
          <mc:Choice Requires="x14">
            <control shapeId="3195" r:id="rId70" name="Option Button 123">
              <controlPr defaultSize="0" autoFill="0" autoLine="0" autoPict="0">
                <anchor moveWithCells="1">
                  <from>
                    <xdr:col>6</xdr:col>
                    <xdr:colOff>243840</xdr:colOff>
                    <xdr:row>78</xdr:row>
                    <xdr:rowOff>121920</xdr:rowOff>
                  </from>
                  <to>
                    <xdr:col>7</xdr:col>
                    <xdr:colOff>419100</xdr:colOff>
                    <xdr:row>80</xdr:row>
                    <xdr:rowOff>45720</xdr:rowOff>
                  </to>
                </anchor>
              </controlPr>
            </control>
          </mc:Choice>
        </mc:AlternateContent>
        <mc:AlternateContent xmlns:mc="http://schemas.openxmlformats.org/markup-compatibility/2006">
          <mc:Choice Requires="x14">
            <control shapeId="3197" r:id="rId71" name="Option Button 125">
              <controlPr defaultSize="0" autoFill="0" autoLine="0" autoPict="0">
                <anchor moveWithCells="1">
                  <from>
                    <xdr:col>3</xdr:col>
                    <xdr:colOff>358140</xdr:colOff>
                    <xdr:row>71</xdr:row>
                    <xdr:rowOff>175260</xdr:rowOff>
                  </from>
                  <to>
                    <xdr:col>5</xdr:col>
                    <xdr:colOff>205740</xdr:colOff>
                    <xdr:row>73</xdr:row>
                    <xdr:rowOff>15240</xdr:rowOff>
                  </to>
                </anchor>
              </controlPr>
            </control>
          </mc:Choice>
        </mc:AlternateContent>
        <mc:AlternateContent xmlns:mc="http://schemas.openxmlformats.org/markup-compatibility/2006">
          <mc:Choice Requires="x14">
            <control shapeId="3199" r:id="rId72" name="Option Button 127">
              <controlPr defaultSize="0" autoFill="0" autoLine="0" autoPict="0">
                <anchor moveWithCells="1">
                  <from>
                    <xdr:col>5</xdr:col>
                    <xdr:colOff>388620</xdr:colOff>
                    <xdr:row>71</xdr:row>
                    <xdr:rowOff>167640</xdr:rowOff>
                  </from>
                  <to>
                    <xdr:col>7</xdr:col>
                    <xdr:colOff>7620</xdr:colOff>
                    <xdr:row>73</xdr:row>
                    <xdr:rowOff>15240</xdr:rowOff>
                  </to>
                </anchor>
              </controlPr>
            </control>
          </mc:Choice>
        </mc:AlternateContent>
        <mc:AlternateContent xmlns:mc="http://schemas.openxmlformats.org/markup-compatibility/2006">
          <mc:Choice Requires="x14">
            <control shapeId="3200" r:id="rId73" name="Group Box 128">
              <controlPr defaultSize="0" autoFill="0" autoPict="0">
                <anchor moveWithCells="1">
                  <from>
                    <xdr:col>1</xdr:col>
                    <xdr:colOff>205740</xdr:colOff>
                    <xdr:row>78</xdr:row>
                    <xdr:rowOff>60960</xdr:rowOff>
                  </from>
                  <to>
                    <xdr:col>5</xdr:col>
                    <xdr:colOff>365760</xdr:colOff>
                    <xdr:row>85</xdr:row>
                    <xdr:rowOff>106680</xdr:rowOff>
                  </to>
                </anchor>
              </controlPr>
            </control>
          </mc:Choice>
        </mc:AlternateContent>
        <mc:AlternateContent xmlns:mc="http://schemas.openxmlformats.org/markup-compatibility/2006">
          <mc:Choice Requires="x14">
            <control shapeId="3201" r:id="rId74" name="Option Button 129">
              <controlPr defaultSize="0" autoFill="0" autoLine="0" autoPict="0">
                <anchor moveWithCells="1">
                  <from>
                    <xdr:col>1</xdr:col>
                    <xdr:colOff>327660</xdr:colOff>
                    <xdr:row>78</xdr:row>
                    <xdr:rowOff>167640</xdr:rowOff>
                  </from>
                  <to>
                    <xdr:col>4</xdr:col>
                    <xdr:colOff>152400</xdr:colOff>
                    <xdr:row>80</xdr:row>
                    <xdr:rowOff>7620</xdr:rowOff>
                  </to>
                </anchor>
              </controlPr>
            </control>
          </mc:Choice>
        </mc:AlternateContent>
        <mc:AlternateContent xmlns:mc="http://schemas.openxmlformats.org/markup-compatibility/2006">
          <mc:Choice Requires="x14">
            <control shapeId="3203" r:id="rId75" name="Option Button 131">
              <controlPr defaultSize="0" autoFill="0" autoLine="0" autoPict="0">
                <anchor moveWithCells="1">
                  <from>
                    <xdr:col>1</xdr:col>
                    <xdr:colOff>320040</xdr:colOff>
                    <xdr:row>80</xdr:row>
                    <xdr:rowOff>38100</xdr:rowOff>
                  </from>
                  <to>
                    <xdr:col>4</xdr:col>
                    <xdr:colOff>289560</xdr:colOff>
                    <xdr:row>81</xdr:row>
                    <xdr:rowOff>76200</xdr:rowOff>
                  </to>
                </anchor>
              </controlPr>
            </control>
          </mc:Choice>
        </mc:AlternateContent>
        <mc:AlternateContent xmlns:mc="http://schemas.openxmlformats.org/markup-compatibility/2006">
          <mc:Choice Requires="x14">
            <control shapeId="3204" r:id="rId76" name="Option Button 132">
              <controlPr defaultSize="0" autoFill="0" autoLine="0" autoPict="0">
                <anchor moveWithCells="1">
                  <from>
                    <xdr:col>1</xdr:col>
                    <xdr:colOff>312420</xdr:colOff>
                    <xdr:row>83</xdr:row>
                    <xdr:rowOff>38100</xdr:rowOff>
                  </from>
                  <to>
                    <xdr:col>3</xdr:col>
                    <xdr:colOff>510540</xdr:colOff>
                    <xdr:row>84</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D30DC-65A7-4605-8D85-5CB6F0B214F3}">
  <sheetPr codeName="Sheet3"/>
  <dimension ref="B1:N71"/>
  <sheetViews>
    <sheetView showGridLines="0" zoomScale="120" zoomScaleNormal="120" workbookViewId="0">
      <selection activeCell="I78" sqref="I78"/>
    </sheetView>
  </sheetViews>
  <sheetFormatPr defaultRowHeight="14.4" x14ac:dyDescent="0.3"/>
  <cols>
    <col min="4" max="5" width="8.88671875" style="13"/>
    <col min="8" max="8" width="6.44140625" customWidth="1"/>
    <col min="9" max="9" width="8.88671875" style="13"/>
    <col min="12" max="12" width="8.88671875" style="16"/>
    <col min="13" max="13" width="8.88671875" style="15"/>
    <col min="14" max="14" width="8.88671875" style="14"/>
  </cols>
  <sheetData>
    <row r="1" spans="2:11" x14ac:dyDescent="0.3">
      <c r="I1" s="27"/>
      <c r="J1" s="28"/>
      <c r="K1" s="28"/>
    </row>
    <row r="2" spans="2:11" x14ac:dyDescent="0.3">
      <c r="I2" s="27"/>
      <c r="J2" s="28"/>
      <c r="K2" s="28"/>
    </row>
    <row r="3" spans="2:11" ht="18" x14ac:dyDescent="0.35">
      <c r="B3" s="12" t="s">
        <v>53</v>
      </c>
      <c r="I3" s="27"/>
      <c r="J3" s="28"/>
      <c r="K3" s="28"/>
    </row>
    <row r="5" spans="2:11" x14ac:dyDescent="0.3">
      <c r="I5" s="19" t="s">
        <v>41</v>
      </c>
    </row>
    <row r="9" spans="2:11" x14ac:dyDescent="0.3">
      <c r="J9" s="97"/>
      <c r="K9" s="98"/>
    </row>
    <row r="19" spans="2:14" x14ac:dyDescent="0.3">
      <c r="L19" s="16" t="s">
        <v>14</v>
      </c>
      <c r="M19" s="26">
        <v>0</v>
      </c>
    </row>
    <row r="20" spans="2:14" x14ac:dyDescent="0.3">
      <c r="L20" s="16" t="s">
        <v>15</v>
      </c>
      <c r="M20" s="26">
        <v>0</v>
      </c>
      <c r="N20" s="14">
        <f>IF(M20=1,"Elox",IF(M20=2,"RAL 9005",J9))</f>
        <v>0</v>
      </c>
    </row>
    <row r="21" spans="2:14" x14ac:dyDescent="0.3">
      <c r="L21" s="16" t="s">
        <v>16</v>
      </c>
      <c r="M21" s="26">
        <v>0</v>
      </c>
    </row>
    <row r="22" spans="2:14" ht="18" x14ac:dyDescent="0.35">
      <c r="B22" s="24" t="s">
        <v>42</v>
      </c>
      <c r="G22" s="24" t="s">
        <v>43</v>
      </c>
      <c r="L22" s="16" t="s">
        <v>26</v>
      </c>
      <c r="M22" s="26">
        <v>0</v>
      </c>
    </row>
    <row r="23" spans="2:14" x14ac:dyDescent="0.3">
      <c r="L23" s="16" t="s">
        <v>22</v>
      </c>
      <c r="M23" s="26">
        <v>0</v>
      </c>
    </row>
    <row r="24" spans="2:14" x14ac:dyDescent="0.3">
      <c r="L24" s="16" t="s">
        <v>21</v>
      </c>
      <c r="M24" s="26">
        <v>0</v>
      </c>
    </row>
    <row r="25" spans="2:14" x14ac:dyDescent="0.3">
      <c r="L25" s="16" t="s">
        <v>27</v>
      </c>
      <c r="M25" s="26">
        <v>0</v>
      </c>
    </row>
    <row r="26" spans="2:14" x14ac:dyDescent="0.3">
      <c r="L26" s="16" t="s">
        <v>40</v>
      </c>
      <c r="M26" s="26">
        <v>0</v>
      </c>
    </row>
    <row r="27" spans="2:14" x14ac:dyDescent="0.3">
      <c r="L27" s="16" t="s">
        <v>33</v>
      </c>
      <c r="M27" s="26">
        <v>0</v>
      </c>
    </row>
    <row r="28" spans="2:14" x14ac:dyDescent="0.3">
      <c r="L28" s="16" t="s">
        <v>34</v>
      </c>
      <c r="M28" s="26">
        <v>0</v>
      </c>
    </row>
    <row r="29" spans="2:14" x14ac:dyDescent="0.3">
      <c r="I29" s="29" t="s">
        <v>59</v>
      </c>
      <c r="L29" s="16" t="s">
        <v>39</v>
      </c>
      <c r="M29" s="15">
        <v>0</v>
      </c>
    </row>
    <row r="30" spans="2:14" x14ac:dyDescent="0.3">
      <c r="L30" s="16" t="s">
        <v>54</v>
      </c>
      <c r="M30" s="15" t="b">
        <v>0</v>
      </c>
    </row>
    <row r="31" spans="2:14" x14ac:dyDescent="0.3">
      <c r="L31" s="16" t="s">
        <v>55</v>
      </c>
      <c r="M31" s="15" t="b">
        <v>0</v>
      </c>
    </row>
    <row r="32" spans="2:14" ht="18" x14ac:dyDescent="0.35">
      <c r="B32" s="24" t="s">
        <v>44</v>
      </c>
      <c r="H32" s="25" t="s">
        <v>28</v>
      </c>
      <c r="L32" s="16" t="s">
        <v>56</v>
      </c>
      <c r="M32" s="15" t="b">
        <v>0</v>
      </c>
    </row>
    <row r="33" spans="2:13" x14ac:dyDescent="0.3">
      <c r="L33" s="16" t="s">
        <v>57</v>
      </c>
      <c r="M33" s="15" t="b">
        <v>0</v>
      </c>
    </row>
    <row r="43" spans="2:13" ht="18" x14ac:dyDescent="0.35">
      <c r="B43" s="24" t="s">
        <v>45</v>
      </c>
      <c r="H43" s="25" t="s">
        <v>46</v>
      </c>
    </row>
    <row r="46" spans="2:13" x14ac:dyDescent="0.3">
      <c r="E46" s="18"/>
      <c r="F46" s="17"/>
    </row>
    <row r="47" spans="2:13" x14ac:dyDescent="0.3">
      <c r="C47" s="99"/>
      <c r="D47" s="99"/>
      <c r="E47" s="17" t="s">
        <v>49</v>
      </c>
    </row>
    <row r="49" spans="2:10" ht="26.4" customHeight="1" x14ac:dyDescent="0.35">
      <c r="B49" s="24" t="s">
        <v>48</v>
      </c>
      <c r="H49" s="25" t="s">
        <v>47</v>
      </c>
    </row>
    <row r="51" spans="2:10" ht="15" customHeight="1" x14ac:dyDescent="0.3"/>
    <row r="52" spans="2:10" ht="15" customHeight="1" x14ac:dyDescent="0.3"/>
    <row r="53" spans="2:10" ht="15" customHeight="1" x14ac:dyDescent="0.3"/>
    <row r="54" spans="2:10" ht="24.6" customHeight="1" x14ac:dyDescent="0.3">
      <c r="I54" s="22" t="s">
        <v>52</v>
      </c>
      <c r="J54" s="23"/>
    </row>
    <row r="55" spans="2:10" ht="12" customHeight="1" x14ac:dyDescent="0.3">
      <c r="C55" s="20"/>
      <c r="D55" s="36"/>
      <c r="E55" s="21"/>
    </row>
    <row r="56" spans="2:10" ht="12" customHeight="1" x14ac:dyDescent="0.3">
      <c r="C56" s="20"/>
      <c r="D56" s="36"/>
      <c r="E56" s="21"/>
    </row>
    <row r="57" spans="2:10" ht="12" customHeight="1" x14ac:dyDescent="0.3">
      <c r="C57" s="20"/>
      <c r="D57" s="36"/>
      <c r="E57" s="21"/>
    </row>
    <row r="59" spans="2:10" ht="22.8" customHeight="1" x14ac:dyDescent="0.35">
      <c r="B59" s="24" t="s">
        <v>50</v>
      </c>
    </row>
    <row r="66" spans="2:8" ht="18" x14ac:dyDescent="0.35">
      <c r="H66" s="25" t="s">
        <v>51</v>
      </c>
    </row>
    <row r="71" spans="2:8" ht="18" x14ac:dyDescent="0.35">
      <c r="B71" s="24" t="s">
        <v>99</v>
      </c>
    </row>
  </sheetData>
  <mergeCells count="2">
    <mergeCell ref="J9:K9"/>
    <mergeCell ref="C47:D47"/>
  </mergeCells>
  <pageMargins left="0.25" right="0.25"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Option Button 1">
              <controlPr defaultSize="0" autoFill="0" autoLine="0" autoPict="0">
                <anchor moveWithCells="1">
                  <from>
                    <xdr:col>1</xdr:col>
                    <xdr:colOff>373380</xdr:colOff>
                    <xdr:row>4</xdr:row>
                    <xdr:rowOff>7620</xdr:rowOff>
                  </from>
                  <to>
                    <xdr:col>3</xdr:col>
                    <xdr:colOff>68580</xdr:colOff>
                    <xdr:row>5</xdr:row>
                    <xdr:rowOff>38100</xdr:rowOff>
                  </to>
                </anchor>
              </controlPr>
            </control>
          </mc:Choice>
        </mc:AlternateContent>
        <mc:AlternateContent xmlns:mc="http://schemas.openxmlformats.org/markup-compatibility/2006">
          <mc:Choice Requires="x14">
            <control shapeId="4098" r:id="rId5" name="Option Button 2">
              <controlPr defaultSize="0" autoFill="0" autoLine="0" autoPict="0">
                <anchor moveWithCells="1">
                  <from>
                    <xdr:col>1</xdr:col>
                    <xdr:colOff>373380</xdr:colOff>
                    <xdr:row>10</xdr:row>
                    <xdr:rowOff>53340</xdr:rowOff>
                  </from>
                  <to>
                    <xdr:col>3</xdr:col>
                    <xdr:colOff>68580</xdr:colOff>
                    <xdr:row>11</xdr:row>
                    <xdr:rowOff>45720</xdr:rowOff>
                  </to>
                </anchor>
              </controlPr>
            </control>
          </mc:Choice>
        </mc:AlternateContent>
        <mc:AlternateContent xmlns:mc="http://schemas.openxmlformats.org/markup-compatibility/2006">
          <mc:Choice Requires="x14">
            <control shapeId="4099" r:id="rId6" name="Option Button 3">
              <controlPr defaultSize="0" autoFill="0" autoLine="0" autoPict="0">
                <anchor moveWithCells="1">
                  <from>
                    <xdr:col>1</xdr:col>
                    <xdr:colOff>381000</xdr:colOff>
                    <xdr:row>15</xdr:row>
                    <xdr:rowOff>7620</xdr:rowOff>
                  </from>
                  <to>
                    <xdr:col>4</xdr:col>
                    <xdr:colOff>281940</xdr:colOff>
                    <xdr:row>16</xdr:row>
                    <xdr:rowOff>53340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1</xdr:col>
                    <xdr:colOff>175260</xdr:colOff>
                    <xdr:row>3</xdr:row>
                    <xdr:rowOff>60960</xdr:rowOff>
                  </from>
                  <to>
                    <xdr:col>3</xdr:col>
                    <xdr:colOff>487680</xdr:colOff>
                    <xdr:row>19</xdr:row>
                    <xdr:rowOff>30480</xdr:rowOff>
                  </to>
                </anchor>
              </controlPr>
            </control>
          </mc:Choice>
        </mc:AlternateContent>
        <mc:AlternateContent xmlns:mc="http://schemas.openxmlformats.org/markup-compatibility/2006">
          <mc:Choice Requires="x14">
            <control shapeId="4101" r:id="rId8" name="Option Button 5">
              <controlPr defaultSize="0" autoFill="0" autoLine="0" autoPict="0">
                <anchor moveWithCells="1">
                  <from>
                    <xdr:col>8</xdr:col>
                    <xdr:colOff>60960</xdr:colOff>
                    <xdr:row>5</xdr:row>
                    <xdr:rowOff>22860</xdr:rowOff>
                  </from>
                  <to>
                    <xdr:col>9</xdr:col>
                    <xdr:colOff>144780</xdr:colOff>
                    <xdr:row>6</xdr:row>
                    <xdr:rowOff>53340</xdr:rowOff>
                  </to>
                </anchor>
              </controlPr>
            </control>
          </mc:Choice>
        </mc:AlternateContent>
        <mc:AlternateContent xmlns:mc="http://schemas.openxmlformats.org/markup-compatibility/2006">
          <mc:Choice Requires="x14">
            <control shapeId="4102" r:id="rId9" name="Option Button 6">
              <controlPr defaultSize="0" autoFill="0" autoLine="0" autoPict="0">
                <anchor moveWithCells="1">
                  <from>
                    <xdr:col>8</xdr:col>
                    <xdr:colOff>60960</xdr:colOff>
                    <xdr:row>6</xdr:row>
                    <xdr:rowOff>91440</xdr:rowOff>
                  </from>
                  <to>
                    <xdr:col>9</xdr:col>
                    <xdr:colOff>190500</xdr:colOff>
                    <xdr:row>7</xdr:row>
                    <xdr:rowOff>121920</xdr:rowOff>
                  </to>
                </anchor>
              </controlPr>
            </control>
          </mc:Choice>
        </mc:AlternateContent>
        <mc:AlternateContent xmlns:mc="http://schemas.openxmlformats.org/markup-compatibility/2006">
          <mc:Choice Requires="x14">
            <control shapeId="4103" r:id="rId10" name="Option Button 7">
              <controlPr defaultSize="0" autoFill="0" autoLine="0" autoPict="0" altText="Jiná">
                <anchor moveWithCells="1">
                  <from>
                    <xdr:col>8</xdr:col>
                    <xdr:colOff>60960</xdr:colOff>
                    <xdr:row>7</xdr:row>
                    <xdr:rowOff>160020</xdr:rowOff>
                  </from>
                  <to>
                    <xdr:col>9</xdr:col>
                    <xdr:colOff>182880</xdr:colOff>
                    <xdr:row>9</xdr:row>
                    <xdr:rowOff>15240</xdr:rowOff>
                  </to>
                </anchor>
              </controlPr>
            </control>
          </mc:Choice>
        </mc:AlternateContent>
        <mc:AlternateContent xmlns:mc="http://schemas.openxmlformats.org/markup-compatibility/2006">
          <mc:Choice Requires="x14">
            <control shapeId="4104" r:id="rId11" name="Group Box 8">
              <controlPr defaultSize="0" autoFill="0" autoPict="0">
                <anchor moveWithCells="1">
                  <from>
                    <xdr:col>8</xdr:col>
                    <xdr:colOff>213360</xdr:colOff>
                    <xdr:row>3</xdr:row>
                    <xdr:rowOff>76200</xdr:rowOff>
                  </from>
                  <to>
                    <xdr:col>9</xdr:col>
                    <xdr:colOff>495300</xdr:colOff>
                    <xdr:row>9</xdr:row>
                    <xdr:rowOff>121920</xdr:rowOff>
                  </to>
                </anchor>
              </controlPr>
            </control>
          </mc:Choice>
        </mc:AlternateContent>
        <mc:AlternateContent xmlns:mc="http://schemas.openxmlformats.org/markup-compatibility/2006">
          <mc:Choice Requires="x14">
            <control shapeId="4105" r:id="rId12" name="Option Button 9">
              <controlPr defaultSize="0" autoFill="0" autoLine="0" autoPict="0">
                <anchor moveWithCells="1">
                  <from>
                    <xdr:col>6</xdr:col>
                    <xdr:colOff>548640</xdr:colOff>
                    <xdr:row>22</xdr:row>
                    <xdr:rowOff>160020</xdr:rowOff>
                  </from>
                  <to>
                    <xdr:col>8</xdr:col>
                    <xdr:colOff>220980</xdr:colOff>
                    <xdr:row>24</xdr:row>
                    <xdr:rowOff>7620</xdr:rowOff>
                  </to>
                </anchor>
              </controlPr>
            </control>
          </mc:Choice>
        </mc:AlternateContent>
        <mc:AlternateContent xmlns:mc="http://schemas.openxmlformats.org/markup-compatibility/2006">
          <mc:Choice Requires="x14">
            <control shapeId="4106" r:id="rId13" name="Option Button 10">
              <controlPr defaultSize="0" autoFill="0" autoLine="0" autoPict="0">
                <anchor moveWithCells="1">
                  <from>
                    <xdr:col>6</xdr:col>
                    <xdr:colOff>548640</xdr:colOff>
                    <xdr:row>24</xdr:row>
                    <xdr:rowOff>68580</xdr:rowOff>
                  </from>
                  <to>
                    <xdr:col>8</xdr:col>
                    <xdr:colOff>220980</xdr:colOff>
                    <xdr:row>25</xdr:row>
                    <xdr:rowOff>106680</xdr:rowOff>
                  </to>
                </anchor>
              </controlPr>
            </control>
          </mc:Choice>
        </mc:AlternateContent>
        <mc:AlternateContent xmlns:mc="http://schemas.openxmlformats.org/markup-compatibility/2006">
          <mc:Choice Requires="x14">
            <control shapeId="4107" r:id="rId14" name="Option Button 11">
              <controlPr defaultSize="0" autoFill="0" autoLine="0" autoPict="0">
                <anchor moveWithCells="1">
                  <from>
                    <xdr:col>6</xdr:col>
                    <xdr:colOff>548640</xdr:colOff>
                    <xdr:row>25</xdr:row>
                    <xdr:rowOff>175260</xdr:rowOff>
                  </from>
                  <to>
                    <xdr:col>8</xdr:col>
                    <xdr:colOff>220980</xdr:colOff>
                    <xdr:row>27</xdr:row>
                    <xdr:rowOff>22860</xdr:rowOff>
                  </to>
                </anchor>
              </controlPr>
            </control>
          </mc:Choice>
        </mc:AlternateContent>
        <mc:AlternateContent xmlns:mc="http://schemas.openxmlformats.org/markup-compatibility/2006">
          <mc:Choice Requires="x14">
            <control shapeId="4108" r:id="rId15" name="Option Button 12">
              <controlPr defaultSize="0" autoFill="0" autoLine="0" autoPict="0">
                <anchor moveWithCells="1">
                  <from>
                    <xdr:col>6</xdr:col>
                    <xdr:colOff>548640</xdr:colOff>
                    <xdr:row>27</xdr:row>
                    <xdr:rowOff>83820</xdr:rowOff>
                  </from>
                  <to>
                    <xdr:col>8</xdr:col>
                    <xdr:colOff>220980</xdr:colOff>
                    <xdr:row>28</xdr:row>
                    <xdr:rowOff>114300</xdr:rowOff>
                  </to>
                </anchor>
              </controlPr>
            </control>
          </mc:Choice>
        </mc:AlternateContent>
        <mc:AlternateContent xmlns:mc="http://schemas.openxmlformats.org/markup-compatibility/2006">
          <mc:Choice Requires="x14">
            <control shapeId="4109" r:id="rId16" name="Option Button 13">
              <controlPr defaultSize="0" autoFill="0" autoLine="0" autoPict="0">
                <anchor moveWithCells="1">
                  <from>
                    <xdr:col>8</xdr:col>
                    <xdr:colOff>441960</xdr:colOff>
                    <xdr:row>22</xdr:row>
                    <xdr:rowOff>175260</xdr:rowOff>
                  </from>
                  <to>
                    <xdr:col>10</xdr:col>
                    <xdr:colOff>205740</xdr:colOff>
                    <xdr:row>24</xdr:row>
                    <xdr:rowOff>22860</xdr:rowOff>
                  </to>
                </anchor>
              </controlPr>
            </control>
          </mc:Choice>
        </mc:AlternateContent>
        <mc:AlternateContent xmlns:mc="http://schemas.openxmlformats.org/markup-compatibility/2006">
          <mc:Choice Requires="x14">
            <control shapeId="4110" r:id="rId17" name="Option Button 14">
              <controlPr defaultSize="0" autoFill="0" autoLine="0" autoPict="0">
                <anchor moveWithCells="1">
                  <from>
                    <xdr:col>8</xdr:col>
                    <xdr:colOff>441960</xdr:colOff>
                    <xdr:row>24</xdr:row>
                    <xdr:rowOff>83820</xdr:rowOff>
                  </from>
                  <to>
                    <xdr:col>10</xdr:col>
                    <xdr:colOff>205740</xdr:colOff>
                    <xdr:row>25</xdr:row>
                    <xdr:rowOff>121920</xdr:rowOff>
                  </to>
                </anchor>
              </controlPr>
            </control>
          </mc:Choice>
        </mc:AlternateContent>
        <mc:AlternateContent xmlns:mc="http://schemas.openxmlformats.org/markup-compatibility/2006">
          <mc:Choice Requires="x14">
            <control shapeId="4111" r:id="rId18" name="Option Button 15">
              <controlPr defaultSize="0" autoFill="0" autoLine="0" autoPict="0">
                <anchor moveWithCells="1">
                  <from>
                    <xdr:col>8</xdr:col>
                    <xdr:colOff>441960</xdr:colOff>
                    <xdr:row>26</xdr:row>
                    <xdr:rowOff>7620</xdr:rowOff>
                  </from>
                  <to>
                    <xdr:col>10</xdr:col>
                    <xdr:colOff>205740</xdr:colOff>
                    <xdr:row>27</xdr:row>
                    <xdr:rowOff>38100</xdr:rowOff>
                  </to>
                </anchor>
              </controlPr>
            </control>
          </mc:Choice>
        </mc:AlternateContent>
        <mc:AlternateContent xmlns:mc="http://schemas.openxmlformats.org/markup-compatibility/2006">
          <mc:Choice Requires="x14">
            <control shapeId="4112" r:id="rId19" name="Option Button 16">
              <controlPr defaultSize="0" autoFill="0" autoLine="0" autoPict="0">
                <anchor moveWithCells="1">
                  <from>
                    <xdr:col>1</xdr:col>
                    <xdr:colOff>411480</xdr:colOff>
                    <xdr:row>22</xdr:row>
                    <xdr:rowOff>129540</xdr:rowOff>
                  </from>
                  <to>
                    <xdr:col>3</xdr:col>
                    <xdr:colOff>381000</xdr:colOff>
                    <xdr:row>23</xdr:row>
                    <xdr:rowOff>160020</xdr:rowOff>
                  </to>
                </anchor>
              </controlPr>
            </control>
          </mc:Choice>
        </mc:AlternateContent>
        <mc:AlternateContent xmlns:mc="http://schemas.openxmlformats.org/markup-compatibility/2006">
          <mc:Choice Requires="x14">
            <control shapeId="4113" r:id="rId20" name="Option Button 17">
              <controlPr defaultSize="0" autoFill="0" autoLine="0" autoPict="0">
                <anchor moveWithCells="1">
                  <from>
                    <xdr:col>1</xdr:col>
                    <xdr:colOff>403860</xdr:colOff>
                    <xdr:row>25</xdr:row>
                    <xdr:rowOff>182880</xdr:rowOff>
                  </from>
                  <to>
                    <xdr:col>3</xdr:col>
                    <xdr:colOff>160020</xdr:colOff>
                    <xdr:row>27</xdr:row>
                    <xdr:rowOff>30480</xdr:rowOff>
                  </to>
                </anchor>
              </controlPr>
            </control>
          </mc:Choice>
        </mc:AlternateContent>
        <mc:AlternateContent xmlns:mc="http://schemas.openxmlformats.org/markup-compatibility/2006">
          <mc:Choice Requires="x14">
            <control shapeId="4114" r:id="rId21" name="Group Box 18">
              <controlPr defaultSize="0" autoFill="0" autoPict="0">
                <anchor moveWithCells="1">
                  <from>
                    <xdr:col>6</xdr:col>
                    <xdr:colOff>213360</xdr:colOff>
                    <xdr:row>22</xdr:row>
                    <xdr:rowOff>7620</xdr:rowOff>
                  </from>
                  <to>
                    <xdr:col>10</xdr:col>
                    <xdr:colOff>449580</xdr:colOff>
                    <xdr:row>29</xdr:row>
                    <xdr:rowOff>160020</xdr:rowOff>
                  </to>
                </anchor>
              </controlPr>
            </control>
          </mc:Choice>
        </mc:AlternateContent>
        <mc:AlternateContent xmlns:mc="http://schemas.openxmlformats.org/markup-compatibility/2006">
          <mc:Choice Requires="x14">
            <control shapeId="4115" r:id="rId22" name="Option Button 19">
              <controlPr defaultSize="0" autoFill="0" autoLine="0" autoPict="0">
                <anchor moveWithCells="1">
                  <from>
                    <xdr:col>1</xdr:col>
                    <xdr:colOff>373380</xdr:colOff>
                    <xdr:row>32</xdr:row>
                    <xdr:rowOff>129540</xdr:rowOff>
                  </from>
                  <to>
                    <xdr:col>6</xdr:col>
                    <xdr:colOff>358140</xdr:colOff>
                    <xdr:row>33</xdr:row>
                    <xdr:rowOff>160020</xdr:rowOff>
                  </to>
                </anchor>
              </controlPr>
            </control>
          </mc:Choice>
        </mc:AlternateContent>
        <mc:AlternateContent xmlns:mc="http://schemas.openxmlformats.org/markup-compatibility/2006">
          <mc:Choice Requires="x14">
            <control shapeId="4116" r:id="rId23" name="Option Button 20">
              <controlPr defaultSize="0" autoFill="0" autoLine="0" autoPict="0">
                <anchor moveWithCells="1">
                  <from>
                    <xdr:col>1</xdr:col>
                    <xdr:colOff>373380</xdr:colOff>
                    <xdr:row>36</xdr:row>
                    <xdr:rowOff>137160</xdr:rowOff>
                  </from>
                  <to>
                    <xdr:col>5</xdr:col>
                    <xdr:colOff>327660</xdr:colOff>
                    <xdr:row>37</xdr:row>
                    <xdr:rowOff>175260</xdr:rowOff>
                  </to>
                </anchor>
              </controlPr>
            </control>
          </mc:Choice>
        </mc:AlternateContent>
        <mc:AlternateContent xmlns:mc="http://schemas.openxmlformats.org/markup-compatibility/2006">
          <mc:Choice Requires="x14">
            <control shapeId="4117" r:id="rId24" name="Group Box 21">
              <controlPr defaultSize="0" autoFill="0" autoPict="0">
                <anchor moveWithCells="1">
                  <from>
                    <xdr:col>1</xdr:col>
                    <xdr:colOff>228600</xdr:colOff>
                    <xdr:row>32</xdr:row>
                    <xdr:rowOff>30480</xdr:rowOff>
                  </from>
                  <to>
                    <xdr:col>7</xdr:col>
                    <xdr:colOff>182880</xdr:colOff>
                    <xdr:row>40</xdr:row>
                    <xdr:rowOff>175260</xdr:rowOff>
                  </to>
                </anchor>
              </controlPr>
            </control>
          </mc:Choice>
        </mc:AlternateContent>
        <mc:AlternateContent xmlns:mc="http://schemas.openxmlformats.org/markup-compatibility/2006">
          <mc:Choice Requires="x14">
            <control shapeId="4118" r:id="rId25" name="Option Button 22">
              <controlPr defaultSize="0" autoFill="0" autoLine="0" autoPict="0">
                <anchor moveWithCells="1">
                  <from>
                    <xdr:col>8</xdr:col>
                    <xdr:colOff>137160</xdr:colOff>
                    <xdr:row>32</xdr:row>
                    <xdr:rowOff>137160</xdr:rowOff>
                  </from>
                  <to>
                    <xdr:col>10</xdr:col>
                    <xdr:colOff>205740</xdr:colOff>
                    <xdr:row>33</xdr:row>
                    <xdr:rowOff>144780</xdr:rowOff>
                  </to>
                </anchor>
              </controlPr>
            </control>
          </mc:Choice>
        </mc:AlternateContent>
        <mc:AlternateContent xmlns:mc="http://schemas.openxmlformats.org/markup-compatibility/2006">
          <mc:Choice Requires="x14">
            <control shapeId="4119" r:id="rId26" name="Option Button 23">
              <controlPr defaultSize="0" autoFill="0" autoLine="0" autoPict="0">
                <anchor moveWithCells="1">
                  <from>
                    <xdr:col>8</xdr:col>
                    <xdr:colOff>121920</xdr:colOff>
                    <xdr:row>34</xdr:row>
                    <xdr:rowOff>7620</xdr:rowOff>
                  </from>
                  <to>
                    <xdr:col>10</xdr:col>
                    <xdr:colOff>198120</xdr:colOff>
                    <xdr:row>35</xdr:row>
                    <xdr:rowOff>15240</xdr:rowOff>
                  </to>
                </anchor>
              </controlPr>
            </control>
          </mc:Choice>
        </mc:AlternateContent>
        <mc:AlternateContent xmlns:mc="http://schemas.openxmlformats.org/markup-compatibility/2006">
          <mc:Choice Requires="x14">
            <control shapeId="4120" r:id="rId27" name="Group Box 24">
              <controlPr defaultSize="0" autoFill="0" autoPict="0">
                <anchor moveWithCells="1">
                  <from>
                    <xdr:col>8</xdr:col>
                    <xdr:colOff>0</xdr:colOff>
                    <xdr:row>32</xdr:row>
                    <xdr:rowOff>38100</xdr:rowOff>
                  </from>
                  <to>
                    <xdr:col>10</xdr:col>
                    <xdr:colOff>419100</xdr:colOff>
                    <xdr:row>40</xdr:row>
                    <xdr:rowOff>182880</xdr:rowOff>
                  </to>
                </anchor>
              </controlPr>
            </control>
          </mc:Choice>
        </mc:AlternateContent>
        <mc:AlternateContent xmlns:mc="http://schemas.openxmlformats.org/markup-compatibility/2006">
          <mc:Choice Requires="x14">
            <control shapeId="4121" r:id="rId28" name="Group Box 25">
              <controlPr defaultSize="0" autoFill="0" autoPict="0">
                <anchor moveWithCells="1">
                  <from>
                    <xdr:col>1</xdr:col>
                    <xdr:colOff>236220</xdr:colOff>
                    <xdr:row>49</xdr:row>
                    <xdr:rowOff>53340</xdr:rowOff>
                  </from>
                  <to>
                    <xdr:col>7</xdr:col>
                    <xdr:colOff>152400</xdr:colOff>
                    <xdr:row>57</xdr:row>
                    <xdr:rowOff>114300</xdr:rowOff>
                  </to>
                </anchor>
              </controlPr>
            </control>
          </mc:Choice>
        </mc:AlternateContent>
        <mc:AlternateContent xmlns:mc="http://schemas.openxmlformats.org/markup-compatibility/2006">
          <mc:Choice Requires="x14">
            <control shapeId="4122" r:id="rId29" name="Option Button 26">
              <controlPr defaultSize="0" autoFill="0" autoLine="0" autoPict="0">
                <anchor moveWithCells="1">
                  <from>
                    <xdr:col>1</xdr:col>
                    <xdr:colOff>358140</xdr:colOff>
                    <xdr:row>49</xdr:row>
                    <xdr:rowOff>99060</xdr:rowOff>
                  </from>
                  <to>
                    <xdr:col>3</xdr:col>
                    <xdr:colOff>129540</xdr:colOff>
                    <xdr:row>50</xdr:row>
                    <xdr:rowOff>129540</xdr:rowOff>
                  </to>
                </anchor>
              </controlPr>
            </control>
          </mc:Choice>
        </mc:AlternateContent>
        <mc:AlternateContent xmlns:mc="http://schemas.openxmlformats.org/markup-compatibility/2006">
          <mc:Choice Requires="x14">
            <control shapeId="4123" r:id="rId30" name="Option Button 27">
              <controlPr defaultSize="0" autoFill="0" autoLine="0" autoPict="0">
                <anchor moveWithCells="1">
                  <from>
                    <xdr:col>1</xdr:col>
                    <xdr:colOff>350520</xdr:colOff>
                    <xdr:row>51</xdr:row>
                    <xdr:rowOff>68580</xdr:rowOff>
                  </from>
                  <to>
                    <xdr:col>3</xdr:col>
                    <xdr:colOff>121920</xdr:colOff>
                    <xdr:row>52</xdr:row>
                    <xdr:rowOff>91440</xdr:rowOff>
                  </to>
                </anchor>
              </controlPr>
            </control>
          </mc:Choice>
        </mc:AlternateContent>
        <mc:AlternateContent xmlns:mc="http://schemas.openxmlformats.org/markup-compatibility/2006">
          <mc:Choice Requires="x14">
            <control shapeId="4124" r:id="rId31" name="Group Box 28">
              <controlPr defaultSize="0" autoFill="0" autoPict="0">
                <anchor moveWithCells="1">
                  <from>
                    <xdr:col>1</xdr:col>
                    <xdr:colOff>228600</xdr:colOff>
                    <xdr:row>59</xdr:row>
                    <xdr:rowOff>76200</xdr:rowOff>
                  </from>
                  <to>
                    <xdr:col>7</xdr:col>
                    <xdr:colOff>129540</xdr:colOff>
                    <xdr:row>69</xdr:row>
                    <xdr:rowOff>53340</xdr:rowOff>
                  </to>
                </anchor>
              </controlPr>
            </control>
          </mc:Choice>
        </mc:AlternateContent>
        <mc:AlternateContent xmlns:mc="http://schemas.openxmlformats.org/markup-compatibility/2006">
          <mc:Choice Requires="x14">
            <control shapeId="4125" r:id="rId32" name="Option Button 29">
              <controlPr defaultSize="0" autoFill="0" autoLine="0" autoPict="0">
                <anchor moveWithCells="1">
                  <from>
                    <xdr:col>1</xdr:col>
                    <xdr:colOff>358140</xdr:colOff>
                    <xdr:row>59</xdr:row>
                    <xdr:rowOff>167640</xdr:rowOff>
                  </from>
                  <to>
                    <xdr:col>4</xdr:col>
                    <xdr:colOff>594360</xdr:colOff>
                    <xdr:row>61</xdr:row>
                    <xdr:rowOff>22860</xdr:rowOff>
                  </to>
                </anchor>
              </controlPr>
            </control>
          </mc:Choice>
        </mc:AlternateContent>
        <mc:AlternateContent xmlns:mc="http://schemas.openxmlformats.org/markup-compatibility/2006">
          <mc:Choice Requires="x14">
            <control shapeId="4126" r:id="rId33" name="Option Button 30">
              <controlPr defaultSize="0" autoFill="0" autoLine="0" autoPict="0">
                <anchor moveWithCells="1">
                  <from>
                    <xdr:col>1</xdr:col>
                    <xdr:colOff>365760</xdr:colOff>
                    <xdr:row>61</xdr:row>
                    <xdr:rowOff>167640</xdr:rowOff>
                  </from>
                  <to>
                    <xdr:col>5</xdr:col>
                    <xdr:colOff>426720</xdr:colOff>
                    <xdr:row>63</xdr:row>
                    <xdr:rowOff>68580</xdr:rowOff>
                  </to>
                </anchor>
              </controlPr>
            </control>
          </mc:Choice>
        </mc:AlternateContent>
        <mc:AlternateContent xmlns:mc="http://schemas.openxmlformats.org/markup-compatibility/2006">
          <mc:Choice Requires="x14">
            <control shapeId="4127" r:id="rId34" name="Option Button 31">
              <controlPr defaultSize="0" autoFill="0" autoLine="0" autoPict="0">
                <anchor moveWithCells="1">
                  <from>
                    <xdr:col>1</xdr:col>
                    <xdr:colOff>365760</xdr:colOff>
                    <xdr:row>64</xdr:row>
                    <xdr:rowOff>22860</xdr:rowOff>
                  </from>
                  <to>
                    <xdr:col>6</xdr:col>
                    <xdr:colOff>144780</xdr:colOff>
                    <xdr:row>65</xdr:row>
                    <xdr:rowOff>83820</xdr:rowOff>
                  </to>
                </anchor>
              </controlPr>
            </control>
          </mc:Choice>
        </mc:AlternateContent>
        <mc:AlternateContent xmlns:mc="http://schemas.openxmlformats.org/markup-compatibility/2006">
          <mc:Choice Requires="x14">
            <control shapeId="4128" r:id="rId35" name="Group Box 32">
              <controlPr defaultSize="0" autoFill="0" autoPict="0">
                <anchor moveWithCells="1">
                  <from>
                    <xdr:col>1</xdr:col>
                    <xdr:colOff>220980</xdr:colOff>
                    <xdr:row>43</xdr:row>
                    <xdr:rowOff>30480</xdr:rowOff>
                  </from>
                  <to>
                    <xdr:col>7</xdr:col>
                    <xdr:colOff>190500</xdr:colOff>
                    <xdr:row>47</xdr:row>
                    <xdr:rowOff>205740</xdr:rowOff>
                  </to>
                </anchor>
              </controlPr>
            </control>
          </mc:Choice>
        </mc:AlternateContent>
        <mc:AlternateContent xmlns:mc="http://schemas.openxmlformats.org/markup-compatibility/2006">
          <mc:Choice Requires="x14">
            <control shapeId="4129" r:id="rId36" name="Option Button 33">
              <controlPr defaultSize="0" autoFill="0" autoLine="0" autoPict="0">
                <anchor moveWithCells="1">
                  <from>
                    <xdr:col>1</xdr:col>
                    <xdr:colOff>358140</xdr:colOff>
                    <xdr:row>43</xdr:row>
                    <xdr:rowOff>152400</xdr:rowOff>
                  </from>
                  <to>
                    <xdr:col>6</xdr:col>
                    <xdr:colOff>205740</xdr:colOff>
                    <xdr:row>45</xdr:row>
                    <xdr:rowOff>7620</xdr:rowOff>
                  </to>
                </anchor>
              </controlPr>
            </control>
          </mc:Choice>
        </mc:AlternateContent>
        <mc:AlternateContent xmlns:mc="http://schemas.openxmlformats.org/markup-compatibility/2006">
          <mc:Choice Requires="x14">
            <control shapeId="4130" r:id="rId37" name="Option Button 34">
              <controlPr defaultSize="0" autoFill="0" autoLine="0" autoPict="0">
                <anchor moveWithCells="1">
                  <from>
                    <xdr:col>1</xdr:col>
                    <xdr:colOff>358140</xdr:colOff>
                    <xdr:row>44</xdr:row>
                    <xdr:rowOff>160020</xdr:rowOff>
                  </from>
                  <to>
                    <xdr:col>3</xdr:col>
                    <xdr:colOff>434340</xdr:colOff>
                    <xdr:row>46</xdr:row>
                    <xdr:rowOff>15240</xdr:rowOff>
                  </to>
                </anchor>
              </controlPr>
            </control>
          </mc:Choice>
        </mc:AlternateContent>
        <mc:AlternateContent xmlns:mc="http://schemas.openxmlformats.org/markup-compatibility/2006">
          <mc:Choice Requires="x14">
            <control shapeId="4131" r:id="rId38" name="Check Box 35">
              <controlPr defaultSize="0" autoFill="0" autoLine="0" autoPict="0">
                <anchor moveWithCells="1">
                  <from>
                    <xdr:col>3</xdr:col>
                    <xdr:colOff>312420</xdr:colOff>
                    <xdr:row>44</xdr:row>
                    <xdr:rowOff>160020</xdr:rowOff>
                  </from>
                  <to>
                    <xdr:col>4</xdr:col>
                    <xdr:colOff>251460</xdr:colOff>
                    <xdr:row>46</xdr:row>
                    <xdr:rowOff>15240</xdr:rowOff>
                  </to>
                </anchor>
              </controlPr>
            </control>
          </mc:Choice>
        </mc:AlternateContent>
        <mc:AlternateContent xmlns:mc="http://schemas.openxmlformats.org/markup-compatibility/2006">
          <mc:Choice Requires="x14">
            <control shapeId="4132" r:id="rId39" name="Check Box 36">
              <controlPr defaultSize="0" autoFill="0" autoLine="0" autoPict="0">
                <anchor moveWithCells="1">
                  <from>
                    <xdr:col>4</xdr:col>
                    <xdr:colOff>220980</xdr:colOff>
                    <xdr:row>44</xdr:row>
                    <xdr:rowOff>167640</xdr:rowOff>
                  </from>
                  <to>
                    <xdr:col>5</xdr:col>
                    <xdr:colOff>160020</xdr:colOff>
                    <xdr:row>46</xdr:row>
                    <xdr:rowOff>22860</xdr:rowOff>
                  </to>
                </anchor>
              </controlPr>
            </control>
          </mc:Choice>
        </mc:AlternateContent>
        <mc:AlternateContent xmlns:mc="http://schemas.openxmlformats.org/markup-compatibility/2006">
          <mc:Choice Requires="x14">
            <control shapeId="4133" r:id="rId40" name="Check Box 37">
              <controlPr defaultSize="0" autoFill="0" autoLine="0" autoPict="0">
                <anchor moveWithCells="1">
                  <from>
                    <xdr:col>5</xdr:col>
                    <xdr:colOff>60960</xdr:colOff>
                    <xdr:row>44</xdr:row>
                    <xdr:rowOff>160020</xdr:rowOff>
                  </from>
                  <to>
                    <xdr:col>5</xdr:col>
                    <xdr:colOff>594360</xdr:colOff>
                    <xdr:row>46</xdr:row>
                    <xdr:rowOff>15240</xdr:rowOff>
                  </to>
                </anchor>
              </controlPr>
            </control>
          </mc:Choice>
        </mc:AlternateContent>
        <mc:AlternateContent xmlns:mc="http://schemas.openxmlformats.org/markup-compatibility/2006">
          <mc:Choice Requires="x14">
            <control shapeId="4134" r:id="rId41" name="Group Box 38">
              <controlPr defaultSize="0" autoFill="0" autoPict="0">
                <anchor moveWithCells="1">
                  <from>
                    <xdr:col>7</xdr:col>
                    <xdr:colOff>533400</xdr:colOff>
                    <xdr:row>43</xdr:row>
                    <xdr:rowOff>22860</xdr:rowOff>
                  </from>
                  <to>
                    <xdr:col>10</xdr:col>
                    <xdr:colOff>419100</xdr:colOff>
                    <xdr:row>47</xdr:row>
                    <xdr:rowOff>205740</xdr:rowOff>
                  </to>
                </anchor>
              </controlPr>
            </control>
          </mc:Choice>
        </mc:AlternateContent>
        <mc:AlternateContent xmlns:mc="http://schemas.openxmlformats.org/markup-compatibility/2006">
          <mc:Choice Requires="x14">
            <control shapeId="4135" r:id="rId42" name="Option Button 39">
              <controlPr defaultSize="0" autoFill="0" autoLine="0" autoPict="0">
                <anchor moveWithCells="1">
                  <from>
                    <xdr:col>8</xdr:col>
                    <xdr:colOff>129540</xdr:colOff>
                    <xdr:row>43</xdr:row>
                    <xdr:rowOff>99060</xdr:rowOff>
                  </from>
                  <to>
                    <xdr:col>10</xdr:col>
                    <xdr:colOff>228600</xdr:colOff>
                    <xdr:row>44</xdr:row>
                    <xdr:rowOff>137160</xdr:rowOff>
                  </to>
                </anchor>
              </controlPr>
            </control>
          </mc:Choice>
        </mc:AlternateContent>
        <mc:AlternateContent xmlns:mc="http://schemas.openxmlformats.org/markup-compatibility/2006">
          <mc:Choice Requires="x14">
            <control shapeId="4136" r:id="rId43" name="Option Button 40">
              <controlPr defaultSize="0" autoFill="0" autoLine="0" autoPict="0">
                <anchor moveWithCells="1">
                  <from>
                    <xdr:col>8</xdr:col>
                    <xdr:colOff>129540</xdr:colOff>
                    <xdr:row>45</xdr:row>
                    <xdr:rowOff>175260</xdr:rowOff>
                  </from>
                  <to>
                    <xdr:col>10</xdr:col>
                    <xdr:colOff>190500</xdr:colOff>
                    <xdr:row>47</xdr:row>
                    <xdr:rowOff>30480</xdr:rowOff>
                  </to>
                </anchor>
              </controlPr>
            </control>
          </mc:Choice>
        </mc:AlternateContent>
        <mc:AlternateContent xmlns:mc="http://schemas.openxmlformats.org/markup-compatibility/2006">
          <mc:Choice Requires="x14">
            <control shapeId="4137" r:id="rId44" name="Group Box 41">
              <controlPr defaultSize="0" autoFill="0" autoPict="0">
                <anchor moveWithCells="1">
                  <from>
                    <xdr:col>8</xdr:col>
                    <xdr:colOff>15240</xdr:colOff>
                    <xdr:row>49</xdr:row>
                    <xdr:rowOff>60960</xdr:rowOff>
                  </from>
                  <to>
                    <xdr:col>10</xdr:col>
                    <xdr:colOff>411480</xdr:colOff>
                    <xdr:row>63</xdr:row>
                    <xdr:rowOff>129540</xdr:rowOff>
                  </to>
                </anchor>
              </controlPr>
            </control>
          </mc:Choice>
        </mc:AlternateContent>
        <mc:AlternateContent xmlns:mc="http://schemas.openxmlformats.org/markup-compatibility/2006">
          <mc:Choice Requires="x14">
            <control shapeId="4138" r:id="rId45" name="Option Button 42">
              <controlPr defaultSize="0" autoFill="0" autoLine="0" autoPict="0">
                <anchor moveWithCells="1">
                  <from>
                    <xdr:col>8</xdr:col>
                    <xdr:colOff>76200</xdr:colOff>
                    <xdr:row>50</xdr:row>
                    <xdr:rowOff>60960</xdr:rowOff>
                  </from>
                  <to>
                    <xdr:col>10</xdr:col>
                    <xdr:colOff>205740</xdr:colOff>
                    <xdr:row>51</xdr:row>
                    <xdr:rowOff>76200</xdr:rowOff>
                  </to>
                </anchor>
              </controlPr>
            </control>
          </mc:Choice>
        </mc:AlternateContent>
        <mc:AlternateContent xmlns:mc="http://schemas.openxmlformats.org/markup-compatibility/2006">
          <mc:Choice Requires="x14">
            <control shapeId="4139" r:id="rId46" name="Option Button 43">
              <controlPr defaultSize="0" autoFill="0" autoLine="0" autoPict="0">
                <anchor moveWithCells="1">
                  <from>
                    <xdr:col>8</xdr:col>
                    <xdr:colOff>76200</xdr:colOff>
                    <xdr:row>50</xdr:row>
                    <xdr:rowOff>175260</xdr:rowOff>
                  </from>
                  <to>
                    <xdr:col>10</xdr:col>
                    <xdr:colOff>320040</xdr:colOff>
                    <xdr:row>53</xdr:row>
                    <xdr:rowOff>15240</xdr:rowOff>
                  </to>
                </anchor>
              </controlPr>
            </control>
          </mc:Choice>
        </mc:AlternateContent>
        <mc:AlternateContent xmlns:mc="http://schemas.openxmlformats.org/markup-compatibility/2006">
          <mc:Choice Requires="x14">
            <control shapeId="4140" r:id="rId47" name="Option Button 44">
              <controlPr defaultSize="0" autoFill="0" autoLine="0" autoPict="0">
                <anchor moveWithCells="1">
                  <from>
                    <xdr:col>8</xdr:col>
                    <xdr:colOff>76200</xdr:colOff>
                    <xdr:row>52</xdr:row>
                    <xdr:rowOff>106680</xdr:rowOff>
                  </from>
                  <to>
                    <xdr:col>10</xdr:col>
                    <xdr:colOff>320040</xdr:colOff>
                    <xdr:row>53</xdr:row>
                    <xdr:rowOff>137160</xdr:rowOff>
                  </to>
                </anchor>
              </controlPr>
            </control>
          </mc:Choice>
        </mc:AlternateContent>
        <mc:AlternateContent xmlns:mc="http://schemas.openxmlformats.org/markup-compatibility/2006">
          <mc:Choice Requires="x14">
            <control shapeId="4141" r:id="rId48" name="Option Button 45">
              <controlPr defaultSize="0" autoFill="0" autoLine="0" autoPict="0">
                <anchor moveWithCells="1">
                  <from>
                    <xdr:col>8</xdr:col>
                    <xdr:colOff>83820</xdr:colOff>
                    <xdr:row>54</xdr:row>
                    <xdr:rowOff>68580</xdr:rowOff>
                  </from>
                  <to>
                    <xdr:col>10</xdr:col>
                    <xdr:colOff>297180</xdr:colOff>
                    <xdr:row>55</xdr:row>
                    <xdr:rowOff>137160</xdr:rowOff>
                  </to>
                </anchor>
              </controlPr>
            </control>
          </mc:Choice>
        </mc:AlternateContent>
        <mc:AlternateContent xmlns:mc="http://schemas.openxmlformats.org/markup-compatibility/2006">
          <mc:Choice Requires="x14">
            <control shapeId="4142" r:id="rId49" name="Check Box 46">
              <controlPr defaultSize="0" autoFill="0" autoLine="0" autoPict="0">
                <anchor moveWithCells="1">
                  <from>
                    <xdr:col>8</xdr:col>
                    <xdr:colOff>106680</xdr:colOff>
                    <xdr:row>58</xdr:row>
                    <xdr:rowOff>22860</xdr:rowOff>
                  </from>
                  <to>
                    <xdr:col>10</xdr:col>
                    <xdr:colOff>91440</xdr:colOff>
                    <xdr:row>58</xdr:row>
                    <xdr:rowOff>243840</xdr:rowOff>
                  </to>
                </anchor>
              </controlPr>
            </control>
          </mc:Choice>
        </mc:AlternateContent>
        <mc:AlternateContent xmlns:mc="http://schemas.openxmlformats.org/markup-compatibility/2006">
          <mc:Choice Requires="x14">
            <control shapeId="4143" r:id="rId50" name="Group Box 47">
              <controlPr defaultSize="0" autoFill="0" autoPict="0">
                <anchor moveWithCells="1">
                  <from>
                    <xdr:col>8</xdr:col>
                    <xdr:colOff>30480</xdr:colOff>
                    <xdr:row>66</xdr:row>
                    <xdr:rowOff>53340</xdr:rowOff>
                  </from>
                  <to>
                    <xdr:col>10</xdr:col>
                    <xdr:colOff>411480</xdr:colOff>
                    <xdr:row>74</xdr:row>
                    <xdr:rowOff>167640</xdr:rowOff>
                  </to>
                </anchor>
              </controlPr>
            </control>
          </mc:Choice>
        </mc:AlternateContent>
        <mc:AlternateContent xmlns:mc="http://schemas.openxmlformats.org/markup-compatibility/2006">
          <mc:Choice Requires="x14">
            <control shapeId="4144" r:id="rId51" name="Group Box 48">
              <controlPr defaultSize="0" autoFill="0" autoPict="0">
                <anchor moveWithCells="1">
                  <from>
                    <xdr:col>1</xdr:col>
                    <xdr:colOff>236220</xdr:colOff>
                    <xdr:row>22</xdr:row>
                    <xdr:rowOff>15240</xdr:rowOff>
                  </from>
                  <to>
                    <xdr:col>4</xdr:col>
                    <xdr:colOff>518160</xdr:colOff>
                    <xdr:row>29</xdr:row>
                    <xdr:rowOff>152400</xdr:rowOff>
                  </to>
                </anchor>
              </controlPr>
            </control>
          </mc:Choice>
        </mc:AlternateContent>
        <mc:AlternateContent xmlns:mc="http://schemas.openxmlformats.org/markup-compatibility/2006">
          <mc:Choice Requires="x14">
            <control shapeId="4145" r:id="rId52" name="Button 49">
              <controlPr locked="0" defaultSize="0" print="0" autoFill="0" autoPict="0" macro="[0]!Button49_Click">
                <anchor moveWithCells="1" sizeWithCells="1">
                  <from>
                    <xdr:col>9</xdr:col>
                    <xdr:colOff>129540</xdr:colOff>
                    <xdr:row>0</xdr:row>
                    <xdr:rowOff>38100</xdr:rowOff>
                  </from>
                  <to>
                    <xdr:col>10</xdr:col>
                    <xdr:colOff>571500</xdr:colOff>
                    <xdr:row>1</xdr:row>
                    <xdr:rowOff>76200</xdr:rowOff>
                  </to>
                </anchor>
              </controlPr>
            </control>
          </mc:Choice>
        </mc:AlternateContent>
        <mc:AlternateContent xmlns:mc="http://schemas.openxmlformats.org/markup-compatibility/2006">
          <mc:Choice Requires="x14">
            <control shapeId="4146" r:id="rId53" name="Option Button 50">
              <controlPr defaultSize="0" autoFill="0" autoLine="0" autoPict="0">
                <anchor moveWithCells="1">
                  <from>
                    <xdr:col>8</xdr:col>
                    <xdr:colOff>121920</xdr:colOff>
                    <xdr:row>39</xdr:row>
                    <xdr:rowOff>30480</xdr:rowOff>
                  </from>
                  <to>
                    <xdr:col>10</xdr:col>
                    <xdr:colOff>175260</xdr:colOff>
                    <xdr:row>40</xdr:row>
                    <xdr:rowOff>83820</xdr:rowOff>
                  </to>
                </anchor>
              </controlPr>
            </control>
          </mc:Choice>
        </mc:AlternateContent>
        <mc:AlternateContent xmlns:mc="http://schemas.openxmlformats.org/markup-compatibility/2006">
          <mc:Choice Requires="x14">
            <control shapeId="4147" r:id="rId54" name="Check Box 51">
              <controlPr defaultSize="0" autoFill="0" autoLine="0" autoPict="0">
                <anchor moveWithCells="1">
                  <from>
                    <xdr:col>4</xdr:col>
                    <xdr:colOff>205740</xdr:colOff>
                    <xdr:row>53</xdr:row>
                    <xdr:rowOff>243840</xdr:rowOff>
                  </from>
                  <to>
                    <xdr:col>5</xdr:col>
                    <xdr:colOff>38100</xdr:colOff>
                    <xdr:row>55</xdr:row>
                    <xdr:rowOff>15240</xdr:rowOff>
                  </to>
                </anchor>
              </controlPr>
            </control>
          </mc:Choice>
        </mc:AlternateContent>
        <mc:AlternateContent xmlns:mc="http://schemas.openxmlformats.org/markup-compatibility/2006">
          <mc:Choice Requires="x14">
            <control shapeId="4148" r:id="rId55" name="Check Box 52">
              <controlPr defaultSize="0" autoFill="0" autoLine="0" autoPict="0">
                <anchor moveWithCells="1">
                  <from>
                    <xdr:col>4</xdr:col>
                    <xdr:colOff>601980</xdr:colOff>
                    <xdr:row>53</xdr:row>
                    <xdr:rowOff>251460</xdr:rowOff>
                  </from>
                  <to>
                    <xdr:col>5</xdr:col>
                    <xdr:colOff>419100</xdr:colOff>
                    <xdr:row>55</xdr:row>
                    <xdr:rowOff>15240</xdr:rowOff>
                  </to>
                </anchor>
              </controlPr>
            </control>
          </mc:Choice>
        </mc:AlternateContent>
        <mc:AlternateContent xmlns:mc="http://schemas.openxmlformats.org/markup-compatibility/2006">
          <mc:Choice Requires="x14">
            <control shapeId="4149" r:id="rId56" name="Check Box 53">
              <controlPr defaultSize="0" autoFill="0" autoLine="0" autoPict="0">
                <anchor moveWithCells="1">
                  <from>
                    <xdr:col>6</xdr:col>
                    <xdr:colOff>167640</xdr:colOff>
                    <xdr:row>53</xdr:row>
                    <xdr:rowOff>243840</xdr:rowOff>
                  </from>
                  <to>
                    <xdr:col>6</xdr:col>
                    <xdr:colOff>586740</xdr:colOff>
                    <xdr:row>55</xdr:row>
                    <xdr:rowOff>15240</xdr:rowOff>
                  </to>
                </anchor>
              </controlPr>
            </control>
          </mc:Choice>
        </mc:AlternateContent>
        <mc:AlternateContent xmlns:mc="http://schemas.openxmlformats.org/markup-compatibility/2006">
          <mc:Choice Requires="x14">
            <control shapeId="4150" r:id="rId57" name="Check Box 54">
              <controlPr defaultSize="0" autoFill="0" autoLine="0" autoPict="0">
                <anchor moveWithCells="1">
                  <from>
                    <xdr:col>5</xdr:col>
                    <xdr:colOff>373380</xdr:colOff>
                    <xdr:row>53</xdr:row>
                    <xdr:rowOff>259080</xdr:rowOff>
                  </from>
                  <to>
                    <xdr:col>6</xdr:col>
                    <xdr:colOff>205740</xdr:colOff>
                    <xdr:row>55</xdr:row>
                    <xdr:rowOff>15240</xdr:rowOff>
                  </to>
                </anchor>
              </controlPr>
            </control>
          </mc:Choice>
        </mc:AlternateContent>
        <mc:AlternateContent xmlns:mc="http://schemas.openxmlformats.org/markup-compatibility/2006">
          <mc:Choice Requires="x14">
            <control shapeId="4151" r:id="rId58" name="Check Box 55">
              <controlPr defaultSize="0" autoFill="0" autoLine="0" autoPict="0">
                <anchor moveWithCells="1">
                  <from>
                    <xdr:col>4</xdr:col>
                    <xdr:colOff>205740</xdr:colOff>
                    <xdr:row>55</xdr:row>
                    <xdr:rowOff>137160</xdr:rowOff>
                  </from>
                  <to>
                    <xdr:col>5</xdr:col>
                    <xdr:colOff>30480</xdr:colOff>
                    <xdr:row>57</xdr:row>
                    <xdr:rowOff>60960</xdr:rowOff>
                  </to>
                </anchor>
              </controlPr>
            </control>
          </mc:Choice>
        </mc:AlternateContent>
        <mc:AlternateContent xmlns:mc="http://schemas.openxmlformats.org/markup-compatibility/2006">
          <mc:Choice Requires="x14">
            <control shapeId="4152" r:id="rId59" name="Check Box 56">
              <controlPr defaultSize="0" autoFill="0" autoLine="0" autoPict="0">
                <anchor moveWithCells="1">
                  <from>
                    <xdr:col>4</xdr:col>
                    <xdr:colOff>601980</xdr:colOff>
                    <xdr:row>55</xdr:row>
                    <xdr:rowOff>129540</xdr:rowOff>
                  </from>
                  <to>
                    <xdr:col>5</xdr:col>
                    <xdr:colOff>419100</xdr:colOff>
                    <xdr:row>57</xdr:row>
                    <xdr:rowOff>60960</xdr:rowOff>
                  </to>
                </anchor>
              </controlPr>
            </control>
          </mc:Choice>
        </mc:AlternateContent>
        <mc:AlternateContent xmlns:mc="http://schemas.openxmlformats.org/markup-compatibility/2006">
          <mc:Choice Requires="x14">
            <control shapeId="4153" r:id="rId60" name="Check Box 57">
              <controlPr defaultSize="0" autoFill="0" autoLine="0" autoPict="0">
                <anchor moveWithCells="1">
                  <from>
                    <xdr:col>6</xdr:col>
                    <xdr:colOff>167640</xdr:colOff>
                    <xdr:row>55</xdr:row>
                    <xdr:rowOff>137160</xdr:rowOff>
                  </from>
                  <to>
                    <xdr:col>6</xdr:col>
                    <xdr:colOff>586740</xdr:colOff>
                    <xdr:row>57</xdr:row>
                    <xdr:rowOff>60960</xdr:rowOff>
                  </to>
                </anchor>
              </controlPr>
            </control>
          </mc:Choice>
        </mc:AlternateContent>
        <mc:AlternateContent xmlns:mc="http://schemas.openxmlformats.org/markup-compatibility/2006">
          <mc:Choice Requires="x14">
            <control shapeId="4154" r:id="rId61" name="Check Box 58">
              <controlPr defaultSize="0" autoFill="0" autoLine="0" autoPict="0">
                <anchor moveWithCells="1">
                  <from>
                    <xdr:col>5</xdr:col>
                    <xdr:colOff>373380</xdr:colOff>
                    <xdr:row>55</xdr:row>
                    <xdr:rowOff>137160</xdr:rowOff>
                  </from>
                  <to>
                    <xdr:col>6</xdr:col>
                    <xdr:colOff>205740</xdr:colOff>
                    <xdr:row>57</xdr:row>
                    <xdr:rowOff>60960</xdr:rowOff>
                  </to>
                </anchor>
              </controlPr>
            </control>
          </mc:Choice>
        </mc:AlternateContent>
        <mc:AlternateContent xmlns:mc="http://schemas.openxmlformats.org/markup-compatibility/2006">
          <mc:Choice Requires="x14">
            <control shapeId="4155" r:id="rId62" name="Check Box 59">
              <controlPr defaultSize="0" autoFill="0" autoLine="0" autoPict="0">
                <anchor moveWithCells="1">
                  <from>
                    <xdr:col>4</xdr:col>
                    <xdr:colOff>205740</xdr:colOff>
                    <xdr:row>54</xdr:row>
                    <xdr:rowOff>114300</xdr:rowOff>
                  </from>
                  <to>
                    <xdr:col>5</xdr:col>
                    <xdr:colOff>30480</xdr:colOff>
                    <xdr:row>56</xdr:row>
                    <xdr:rowOff>38100</xdr:rowOff>
                  </to>
                </anchor>
              </controlPr>
            </control>
          </mc:Choice>
        </mc:AlternateContent>
        <mc:AlternateContent xmlns:mc="http://schemas.openxmlformats.org/markup-compatibility/2006">
          <mc:Choice Requires="x14">
            <control shapeId="4156" r:id="rId63" name="Check Box 60">
              <controlPr defaultSize="0" autoFill="0" autoLine="0" autoPict="0">
                <anchor moveWithCells="1">
                  <from>
                    <xdr:col>4</xdr:col>
                    <xdr:colOff>601980</xdr:colOff>
                    <xdr:row>54</xdr:row>
                    <xdr:rowOff>99060</xdr:rowOff>
                  </from>
                  <to>
                    <xdr:col>5</xdr:col>
                    <xdr:colOff>426720</xdr:colOff>
                    <xdr:row>56</xdr:row>
                    <xdr:rowOff>38100</xdr:rowOff>
                  </to>
                </anchor>
              </controlPr>
            </control>
          </mc:Choice>
        </mc:AlternateContent>
        <mc:AlternateContent xmlns:mc="http://schemas.openxmlformats.org/markup-compatibility/2006">
          <mc:Choice Requires="x14">
            <control shapeId="4157" r:id="rId64" name="Check Box 61">
              <controlPr defaultSize="0" autoFill="0" autoLine="0" autoPict="0">
                <anchor moveWithCells="1">
                  <from>
                    <xdr:col>6</xdr:col>
                    <xdr:colOff>167640</xdr:colOff>
                    <xdr:row>54</xdr:row>
                    <xdr:rowOff>114300</xdr:rowOff>
                  </from>
                  <to>
                    <xdr:col>6</xdr:col>
                    <xdr:colOff>586740</xdr:colOff>
                    <xdr:row>56</xdr:row>
                    <xdr:rowOff>38100</xdr:rowOff>
                  </to>
                </anchor>
              </controlPr>
            </control>
          </mc:Choice>
        </mc:AlternateContent>
        <mc:AlternateContent xmlns:mc="http://schemas.openxmlformats.org/markup-compatibility/2006">
          <mc:Choice Requires="x14">
            <control shapeId="4158" r:id="rId65" name="Check Box 62">
              <controlPr defaultSize="0" autoFill="0" autoLine="0" autoPict="0">
                <anchor moveWithCells="1">
                  <from>
                    <xdr:col>5</xdr:col>
                    <xdr:colOff>373380</xdr:colOff>
                    <xdr:row>54</xdr:row>
                    <xdr:rowOff>114300</xdr:rowOff>
                  </from>
                  <to>
                    <xdr:col>6</xdr:col>
                    <xdr:colOff>205740</xdr:colOff>
                    <xdr:row>56</xdr:row>
                    <xdr:rowOff>38100</xdr:rowOff>
                  </to>
                </anchor>
              </controlPr>
            </control>
          </mc:Choice>
        </mc:AlternateContent>
        <mc:AlternateContent xmlns:mc="http://schemas.openxmlformats.org/markup-compatibility/2006">
          <mc:Choice Requires="x14">
            <control shapeId="4159" r:id="rId66" name="Group Box 63">
              <controlPr defaultSize="0" autoFill="0" autoPict="0">
                <anchor moveWithCells="1">
                  <from>
                    <xdr:col>1</xdr:col>
                    <xdr:colOff>228600</xdr:colOff>
                    <xdr:row>71</xdr:row>
                    <xdr:rowOff>76200</xdr:rowOff>
                  </from>
                  <to>
                    <xdr:col>7</xdr:col>
                    <xdr:colOff>129540</xdr:colOff>
                    <xdr:row>74</xdr:row>
                    <xdr:rowOff>160020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52288131F80DBF49919BFFA717B27BFD" ma:contentTypeVersion="10" ma:contentTypeDescription="Vytvoří nový dokument" ma:contentTypeScope="" ma:versionID="9358e905a1c40bce5e20ff14c46ec581">
  <xsd:schema xmlns:xsd="http://www.w3.org/2001/XMLSchema" xmlns:xs="http://www.w3.org/2001/XMLSchema" xmlns:p="http://schemas.microsoft.com/office/2006/metadata/properties" xmlns:ns2="e7ceb769-2963-4046-abac-e87ab08f48c2" xmlns:ns3="18686c7c-3423-4463-824c-fce2d7f276ba" targetNamespace="http://schemas.microsoft.com/office/2006/metadata/properties" ma:root="true" ma:fieldsID="b64dc911d78491431a5292994ee12a7a" ns2:_="" ns3:_="">
    <xsd:import namespace="e7ceb769-2963-4046-abac-e87ab08f48c2"/>
    <xsd:import namespace="18686c7c-3423-4463-824c-fce2d7f276ba"/>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3:SharedWithUsers" minOccurs="0"/>
                <xsd:element ref="ns3:SharedWithDetail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7ceb769-2963-4046-abac-e87ab08f48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8686c7c-3423-4463-824c-fce2d7f276ba" elementFormDefault="qualified">
    <xsd:import namespace="http://schemas.microsoft.com/office/2006/documentManagement/types"/>
    <xsd:import namespace="http://schemas.microsoft.com/office/infopath/2007/PartnerControls"/>
    <xsd:element name="SharedWithUsers" ma:index="13" nillable="true" ma:displayName="Sdílí se s"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dílené s podrobnostmi"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 obsahu"/>
        <xsd:element ref="dc:title" minOccurs="0" maxOccurs="1" ma:index="4" ma:displayName="Nadpis"/>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18686c7c-3423-4463-824c-fce2d7f276ba">
      <UserInfo>
        <DisplayName>Langr Tomáš</DisplayName>
        <AccountId>143</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C53D35E-5E85-4AB2-8566-FD5E7044EC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7ceb769-2963-4046-abac-e87ab08f48c2"/>
    <ds:schemaRef ds:uri="18686c7c-3423-4463-824c-fce2d7f276b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C1E728E-F395-44DD-8B63-9DFA34436081}">
  <ds:schemaRefs>
    <ds:schemaRef ds:uri="http://schemas.microsoft.com/office/2006/metadata/properties"/>
    <ds:schemaRef ds:uri="http://purl.org/dc/terms/"/>
    <ds:schemaRef ds:uri="e7ceb769-2963-4046-abac-e87ab08f48c2"/>
    <ds:schemaRef ds:uri="http://purl.org/dc/elements/1.1/"/>
    <ds:schemaRef ds:uri="http://purl.org/dc/dcmitype/"/>
    <ds:schemaRef ds:uri="http://www.w3.org/XML/1998/namespace"/>
    <ds:schemaRef ds:uri="http://schemas.microsoft.com/office/infopath/2007/PartnerControls"/>
    <ds:schemaRef ds:uri="http://schemas.microsoft.com/office/2006/documentManagement/types"/>
    <ds:schemaRef ds:uri="http://schemas.openxmlformats.org/package/2006/metadata/core-properties"/>
    <ds:schemaRef ds:uri="18686c7c-3423-4463-824c-fce2d7f276ba"/>
  </ds:schemaRefs>
</ds:datastoreItem>
</file>

<file path=customXml/itemProps3.xml><?xml version="1.0" encoding="utf-8"?>
<ds:datastoreItem xmlns:ds="http://schemas.openxmlformats.org/officeDocument/2006/customXml" ds:itemID="{50407FA8-40B9-4C20-85A2-71AE395523F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Ceny (CZE)</vt:lpstr>
      <vt:lpstr>Checklist_CZE</vt:lpstr>
      <vt:lpstr>Checklist_ENG (in progress)</vt:lpstr>
      <vt:lpstr>'Ceny (CZE)'!Print_Area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Rudolf Siwy</dc:creator>
  <cp:lastModifiedBy>Siwy Rudolf</cp:lastModifiedBy>
  <cp:lastPrinted>2019-11-05T07:16:23Z</cp:lastPrinted>
  <dcterms:created xsi:type="dcterms:W3CDTF">2019-10-25T09:10:56Z</dcterms:created>
  <dcterms:modified xsi:type="dcterms:W3CDTF">2019-11-07T15:00:24Z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0x01010052288131F80DBF49919BFFA717B27BFD</vt:lpwstr>
  </property>
</Properties>
</file>